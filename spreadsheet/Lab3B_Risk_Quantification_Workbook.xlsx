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_Assumptions" sheetId="1" state="visible" r:id="rId3"/>
    <sheet name="Inputs" sheetId="2" state="visible" r:id="rId4"/>
    <sheet name="Phase1_ALE" sheetId="3" state="visible" r:id="rId5"/>
    <sheet name="Heat_Map" sheetId="4" state="visible" r:id="rId6"/>
    <sheet name="Phase2_Controls" sheetId="5" state="visible" r:id="rId7"/>
    <sheet name="Timeline" sheetId="6" state="visible" r:id="rId8"/>
    <sheet name="Budget" sheetId="7" state="visible" r:id="rId9"/>
    <sheet name="Gantt" sheetId="8" state="visible" r:id="rId10"/>
    <sheet name="Chart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<sst xmlns="http://schemas.openxmlformats.org/spreadsheetml/2006/main" count="255" uniqueCount="219">
  <si>
    <t xml:space="preserve">Lab 3B: Advanced Cybersecurity Risk Quantification - SecureBank Financial</t>
  </si>
  <si>
    <t xml:space="preserve">Student: Chioma Ameh | Registration number: C11/26/CGRCE/17567 | Course: GRC103 | Date: 29 October 2026 (WAT)</t>
  </si>
  <si>
    <t xml:space="preserve">Colour legend</t>
  </si>
  <si>
    <t xml:space="preserve">Blue text</t>
  </si>
  <si>
    <t xml:space="preserve">Input copied from the lab sheet, or an input you may change (all figures flow through by formula).</t>
  </si>
  <si>
    <t xml:space="preserve">Black text</t>
  </si>
  <si>
    <t xml:space="preserve">Calculated by formula.</t>
  </si>
  <si>
    <t xml:space="preserve">Green text</t>
  </si>
  <si>
    <t xml:space="preserve">Pulled from another sheet by formula.</t>
  </si>
  <si>
    <t xml:space="preserve">Yellow fill</t>
  </si>
  <si>
    <t xml:space="preserve">Assumption chosen by the analyst (not given in the lab sheet). Change it and everything recalculates.</t>
  </si>
  <si>
    <t xml:space="preserve">Sheet guide</t>
  </si>
  <si>
    <t xml:space="preserve">Inputs</t>
  </si>
  <si>
    <t xml:space="preserve">Every given number and every assumption, in one place.</t>
  </si>
  <si>
    <t xml:space="preserve">Phase1_ALE</t>
  </si>
  <si>
    <t xml:space="preserve">Task 1 (SLE, ARO, ALE) and Task 2 (risk prioritisation matrix).</t>
  </si>
  <si>
    <t xml:space="preserve">Heat_Map</t>
  </si>
  <si>
    <t xml:space="preserve">Task 3 risk heat map (probability x impact).</t>
  </si>
  <si>
    <t xml:space="preserve">Phase2_Controls</t>
  </si>
  <si>
    <t xml:space="preserve">Task 4 cost-benefit: investment, maintenance, risk reduction, ROI, payback.</t>
  </si>
  <si>
    <t xml:space="preserve">Timeline</t>
  </si>
  <si>
    <t xml:space="preserve">Task 5 risk reduction over time (line graph data).</t>
  </si>
  <si>
    <t xml:space="preserve">Budget</t>
  </si>
  <si>
    <t xml:space="preserve">Bonus: combined risk-control matrix and optimal selection under budget limits.</t>
  </si>
  <si>
    <t xml:space="preserve">Gantt</t>
  </si>
  <si>
    <t xml:space="preserve">Task 7 risk treatment timeline (Gantt chart).</t>
  </si>
  <si>
    <t xml:space="preserve">Charts</t>
  </si>
  <si>
    <t xml:space="preserve">All required graphs: bar, pie, scatter, ROI horizontal bar, before/after double bar, stacked bar, line.</t>
  </si>
  <si>
    <t xml:space="preserve">Assumptions and decisions (documented for CISO and CFO review)</t>
  </si>
  <si>
    <t xml:space="preserve">A1 Given</t>
  </si>
  <si>
    <t xml:space="preserve">Exploit probabilities, loss figures, control costs, effectiveness and maintenance come from the Lab 3B sheet.</t>
  </si>
  <si>
    <t xml:space="preserve">A2 Assumed</t>
  </si>
  <si>
    <t xml:space="preserve">ARO equals the exploit probability treated as a yearly rate: 15% = 0.15 expected incidents per year. The sheet does not say 'per year'.</t>
  </si>
  <si>
    <t xml:space="preserve">A3 Assumed</t>
  </si>
  <si>
    <t xml:space="preserve">SLE uses the sheet loss figures directly. Finding 1: the stated maximum single incident loss. Finding 2: 500,000 records x $250. Finding 3: 5,000 accounts x $1,500. No exposure factor is given, so none is applied.</t>
  </si>
  <si>
    <t xml:space="preserve">A4 Assumed</t>
  </si>
  <si>
    <t xml:space="preserve">Each control mitigates the finding it is designed for: API Gateway to Finding 1, WAF to Finding 2, MFA to Finding 3. Its effectiveness applies to that finding's ALE only. The sheet states MFA effectiveness for 'account takeover' and it is applied to session hijacking.</t>
  </si>
  <si>
    <t xml:space="preserve">A5 Assumed</t>
  </si>
  <si>
    <t xml:space="preserve">ROI is shown two ways: on initial investment (the class formula, benefits minus cost over cost) and on Year-1 total cost (initial plus first-year maintenance). Benefit = annual risk reduction. Payback = initial investment / (annual risk reduction - annual maintenance).</t>
  </si>
  <si>
    <t xml:space="preserve">A6 Assumed</t>
  </si>
  <si>
    <t xml:space="preserve">Probability, impact and heat-score thresholds are the yellow cells on the Inputs sheet. Heat map cell colours are fixed to the standard 3x3 pattern.</t>
  </si>
  <si>
    <t xml:space="preserve">A7 Assumed</t>
  </si>
  <si>
    <t xml:space="preserve">The sheet gives no budget limit. $500,000 is used as the main constrained scenario and other budgets are tested as well.</t>
  </si>
  <si>
    <t xml:space="preserve">A8 Not used</t>
  </si>
  <si>
    <t xml:space="preserve">System context (500,000 users, $2,500 average transaction, 50,000 daily transactions, 48-hour detection for Finding 1) is kept as context. The sheet supplies loss figures directly.</t>
  </si>
  <si>
    <t xml:space="preserve">A9 Proposal</t>
  </si>
  <si>
    <t xml:space="preserve">The Gantt timeline is the analyst's proposed plan, not data from the lab sheet. Budget per task adds up to the total initial investment.</t>
  </si>
  <si>
    <t xml:space="preserve">A10 AI use</t>
  </si>
  <si>
    <t xml:space="preserve">Prepared with guidance from Claude (Anthropic). Formulas were recalculated and every result was checked independently against hand calculations.</t>
  </si>
  <si>
    <t xml:space="preserve">Inputs (given data and assumptions)</t>
  </si>
  <si>
    <t xml:space="preserve">Blue = given in the lab sheet. Yellow = analyst assumption.</t>
  </si>
  <si>
    <t xml:space="preserve">ID</t>
  </si>
  <si>
    <t xml:space="preserve">Vulnerability</t>
  </si>
  <si>
    <t xml:space="preserve">Exploit probability (ARO per year)</t>
  </si>
  <si>
    <t xml:space="preserve">Units at risk</t>
  </si>
  <si>
    <t xml:space="preserve">Loss per unit ($)</t>
  </si>
  <si>
    <t xml:space="preserve">Direct SLE ($)</t>
  </si>
  <si>
    <t xml:space="preserve">Mapped control</t>
  </si>
  <si>
    <t xml:space="preserve">F1</t>
  </si>
  <si>
    <t xml:space="preserve">API Authentication Bypass</t>
  </si>
  <si>
    <t xml:space="preserve">Advanced API Security Gateway</t>
  </si>
  <si>
    <t xml:space="preserve">F2</t>
  </si>
  <si>
    <t xml:space="preserve">Database Injection</t>
  </si>
  <si>
    <t xml:space="preserve">Web Application Firewall (WAF)</t>
  </si>
  <si>
    <t xml:space="preserve">F3</t>
  </si>
  <si>
    <t xml:space="preserve">Session Hijacking</t>
  </si>
  <si>
    <t xml:space="preserve">Multi-Factor Authentication Enhancement</t>
  </si>
  <si>
    <t xml:space="preserve">Control</t>
  </si>
  <si>
    <t xml:space="preserve">Initial investment ($)</t>
  </si>
  <si>
    <t xml:space="preserve">Annual maintenance ($/yr)</t>
  </si>
  <si>
    <t xml:space="preserve">Effectiveness</t>
  </si>
  <si>
    <t xml:space="preserve">Mitigates finding</t>
  </si>
  <si>
    <t xml:space="preserve">C1</t>
  </si>
  <si>
    <t xml:space="preserve">C2</t>
  </si>
  <si>
    <t xml:space="preserve">C3</t>
  </si>
  <si>
    <t xml:space="preserve">Assumed thresholds and settings</t>
  </si>
  <si>
    <t xml:space="preserve">Probability: High if at least</t>
  </si>
  <si>
    <t xml:space="preserve">Probability: Medium if at least</t>
  </si>
  <si>
    <t xml:space="preserve">Impact (SLE): High if at least ($)</t>
  </si>
  <si>
    <t xml:space="preserve">Impact (SLE): Medium if at least ($)</t>
  </si>
  <si>
    <t xml:space="preserve">Heat score: High if at least</t>
  </si>
  <si>
    <t xml:space="preserve">Heat score: Medium if at least</t>
  </si>
  <si>
    <t xml:space="preserve">Analysis horizon (years)</t>
  </si>
  <si>
    <t xml:space="preserve">Constrained budget for bonus ($)</t>
  </si>
  <si>
    <t xml:space="preserve">System context (not used in formulas)</t>
  </si>
  <si>
    <t xml:space="preserve">Active customers</t>
  </si>
  <si>
    <t xml:space="preserve">Average transaction ($)</t>
  </si>
  <si>
    <t xml:space="preserve">Daily transactions</t>
  </si>
  <si>
    <t xml:space="preserve">Finding 1 estimated detection (hours)</t>
  </si>
  <si>
    <t xml:space="preserve">Heat score = probability score x impact score, where Low = 1, Medium = 2, High = 3.</t>
  </si>
  <si>
    <t xml:space="preserve">Phase 1: Risk exposure (Task 1) and prioritisation matrix (Task 2)</t>
  </si>
  <si>
    <t xml:space="preserve">SLE = loss from one incident. ARO = incidents per year. ALE = SLE x ARO.</t>
  </si>
  <si>
    <t xml:space="preserve">SLE ($)</t>
  </si>
  <si>
    <t xml:space="preserve">ARO (per year)</t>
  </si>
  <si>
    <t xml:space="preserve">ALE ($ per year)</t>
  </si>
  <si>
    <t xml:space="preserve">Share of total ALE</t>
  </si>
  <si>
    <t xml:space="preserve">Rank by ALE</t>
  </si>
  <si>
    <t xml:space="preserve">Probability level</t>
  </si>
  <si>
    <t xml:space="preserve">Impact level</t>
  </si>
  <si>
    <t xml:space="preserve">Heat score</t>
  </si>
  <si>
    <t xml:space="preserve">Risk Priority Level</t>
  </si>
  <si>
    <t xml:space="preserve">Total</t>
  </si>
  <si>
    <t xml:space="preserve">Risk prioritisation matrix (sorted by ALE, highest first)</t>
  </si>
  <si>
    <t xml:space="preserve">Rank</t>
  </si>
  <si>
    <t xml:space="preserve">ARO</t>
  </si>
  <si>
    <t xml:space="preserve">Share of total</t>
  </si>
  <si>
    <t xml:space="preserve">Probability</t>
  </si>
  <si>
    <t xml:space="preserve">Impact</t>
  </si>
  <si>
    <t xml:space="preserve">Priority level comes from the heat score (probability x impact, thresholds on the Inputs sheet). Rank breaks ties between levels using ALE.</t>
  </si>
  <si>
    <t xml:space="preserve">Task 3: Risk heat map (probability x impact)</t>
  </si>
  <si>
    <t xml:space="preserve">IMPACT (single-incident loss, SLE)</t>
  </si>
  <si>
    <t xml:space="preserve">Findings plotted</t>
  </si>
  <si>
    <t xml:space="preserve">PROBABILITY (ARO)</t>
  </si>
  <si>
    <t xml:space="preserve">Low</t>
  </si>
  <si>
    <t xml:space="preserve">Medium</t>
  </si>
  <si>
    <t xml:space="preserve">High</t>
  </si>
  <si>
    <t xml:space="preserve">Finding</t>
  </si>
  <si>
    <t xml:space="preserve">Key: red = High risk, amber = Medium risk, green = Low risk. A finding ID appears in the cell where its probability and impact levels meet.</t>
  </si>
  <si>
    <t xml:space="preserve">Thresholds are the yellow cells on the Inputs sheet. Cell colours follow the standard 3x3 pattern.</t>
  </si>
  <si>
    <t xml:space="preserve">Phase 2: Control cost-benefit analysis (Task 4)</t>
  </si>
  <si>
    <t xml:space="preserve">Risk reduction = ALE x effectiveness. ROI = (benefit - cost) / cost. Payback = initial investment / (annual risk reduction - annual maintenance).</t>
  </si>
  <si>
    <t xml:space="preserve">Mitigates</t>
  </si>
  <si>
    <t xml:space="preserve">Inherent ALE of mitigated risk ($)</t>
  </si>
  <si>
    <t xml:space="preserve">Annual risk reduction ($)</t>
  </si>
  <si>
    <t xml:space="preserve">Residual ALE ($)</t>
  </si>
  <si>
    <t xml:space="preserve">Year-1 total cost ($)</t>
  </si>
  <si>
    <t xml:space="preserve">ROI on initial investment</t>
  </si>
  <si>
    <t xml:space="preserve">ROI on Year-1 total cost</t>
  </si>
  <si>
    <t xml:space="preserve">Annual net cash benefit ($)</t>
  </si>
  <si>
    <t xml:space="preserve">Payback (years)</t>
  </si>
  <si>
    <t xml:space="preserve">Payback (months)</t>
  </si>
  <si>
    <t xml:space="preserve">Payback (days)</t>
  </si>
  <si>
    <t xml:space="preserve">ROI rank (Year-1)</t>
  </si>
  <si>
    <t xml:space="preserve">Total portfolio</t>
  </si>
  <si>
    <t xml:space="preserve">Portfolio effectiveness (E8) is the share of total inherent ALE removed. Each control is matched to one finding, so the portfolio inherent ALE equals the Phase 1 total.</t>
  </si>
  <si>
    <t xml:space="preserve">Task 5: Risk reduction over time (3-year horizon, quarterly)</t>
  </si>
  <si>
    <t xml:space="preserve">Cost with controls = initial investment at day 0 + (residual ALE + maintenance) each year.</t>
  </si>
  <si>
    <t xml:space="preserve">Quarter after procurement</t>
  </si>
  <si>
    <t xml:space="preserve">Years</t>
  </si>
  <si>
    <t xml:space="preserve">Cumulative expected loss, no controls ($)</t>
  </si>
  <si>
    <t xml:space="preserve">Cumulative loss + control cost, with controls ($)</t>
  </si>
  <si>
    <t xml:space="preserve">Cumulative net benefit, total portfolio ($)</t>
  </si>
  <si>
    <t xml:space="preserve">API Gateway cumulative net ($)</t>
  </si>
  <si>
    <t xml:space="preserve">WAF cumulative net ($)</t>
  </si>
  <si>
    <t xml:space="preserve">MFA cumulative net ($)</t>
  </si>
  <si>
    <t xml:space="preserve">Year-end summary</t>
  </si>
  <si>
    <t xml:space="preserve">Milestone</t>
  </si>
  <si>
    <t xml:space="preserve">Years elapsed</t>
  </si>
  <si>
    <t xml:space="preserve">Inherent ALE ($)</t>
  </si>
  <si>
    <t xml:space="preserve">Cumulative cost ($)</t>
  </si>
  <si>
    <t xml:space="preserve">Cumulative saved ($)</t>
  </si>
  <si>
    <t xml:space="preserve">Cumulative net ($)</t>
  </si>
  <si>
    <t xml:space="preserve">Day 0 (procure)</t>
  </si>
  <si>
    <t xml:space="preserve">End of Year 1</t>
  </si>
  <si>
    <t xml:space="preserve">End of Year 2</t>
  </si>
  <si>
    <t xml:space="preserve">End of Year 3</t>
  </si>
  <si>
    <t xml:space="preserve">Bonus: combined risk-control matrix and optimal selection under budget limits</t>
  </si>
  <si>
    <t xml:space="preserve">A. Every combination of the three controls (1 = selected, 0 = not selected)</t>
  </si>
  <si>
    <t xml:space="preserve">Combination</t>
  </si>
  <si>
    <t xml:space="preserve">API Gateway</t>
  </si>
  <si>
    <t xml:space="preserve">WAF</t>
  </si>
  <si>
    <t xml:space="preserve">MFA</t>
  </si>
  <si>
    <t xml:space="preserve">Total initial investment ($)</t>
  </si>
  <si>
    <t xml:space="preserve">Annual maintenance ($)</t>
  </si>
  <si>
    <t xml:space="preserve">Year-1 ROI</t>
  </si>
  <si>
    <t xml:space="preserve">None</t>
  </si>
  <si>
    <t xml:space="preserve">API Gateway only</t>
  </si>
  <si>
    <t xml:space="preserve">WAF only</t>
  </si>
  <si>
    <t xml:space="preserve">MFA only</t>
  </si>
  <si>
    <t xml:space="preserve">API Gateway + WAF</t>
  </si>
  <si>
    <t xml:space="preserve">API Gateway + MFA</t>
  </si>
  <si>
    <t xml:space="preserve">WAF + MFA</t>
  </si>
  <si>
    <t xml:space="preserve">All three controls</t>
  </si>
  <si>
    <t xml:space="preserve">B. Best choice for each budget (initial investment limit)</t>
  </si>
  <si>
    <t xml:space="preserve">Budget limit ($)</t>
  </si>
  <si>
    <t xml:space="preserve">Best annual risk reduction ($)</t>
  </si>
  <si>
    <t xml:space="preserve">Selected combination</t>
  </si>
  <si>
    <t xml:space="preserve">Initial investment used ($)</t>
  </si>
  <si>
    <t xml:space="preserve">Unspent budget ($)</t>
  </si>
  <si>
    <t xml:space="preserve">Share of maximum reduction</t>
  </si>
  <si>
    <t xml:space="preserve">C. Combined risk-control matrix</t>
  </si>
  <si>
    <t xml:space="preserve">Current ALE ($)</t>
  </si>
  <si>
    <t xml:space="preserve">Control cost, initial ($)</t>
  </si>
  <si>
    <t xml:space="preserve">Annual benefit ($)</t>
  </si>
  <si>
    <t xml:space="preserve">Year-1 net benefit ($)</t>
  </si>
  <si>
    <t xml:space="preserve">Task 7: Risk treatment timeline (Gantt)</t>
  </si>
  <si>
    <t xml:space="preserve">Analyst proposal. Days count from approval. Budget per task adds up to the total initial investment.</t>
  </si>
  <si>
    <t xml:space="preserve">Task</t>
  </si>
  <si>
    <t xml:space="preserve">Phase</t>
  </si>
  <si>
    <t xml:space="preserve">Start day</t>
  </si>
  <si>
    <t xml:space="preserve">End day</t>
  </si>
  <si>
    <t xml:space="preserve">Duration (days)</t>
  </si>
  <si>
    <t xml:space="preserve">Budget ($)</t>
  </si>
  <si>
    <t xml:space="preserve">Accountable lead</t>
  </si>
  <si>
    <t xml:space="preserve">Offset (chart helper)</t>
  </si>
  <si>
    <t xml:space="preserve">Immediate (0-30d)</t>
  </si>
  <si>
    <t xml:space="preserve">Short-term (31-90d)</t>
  </si>
  <si>
    <t xml:space="preserve">Long-term (91-365d)</t>
  </si>
  <si>
    <t xml:space="preserve">SQLi virtual patching and input sanitization</t>
  </si>
  <si>
    <t xml:space="preserve">Immediate</t>
  </si>
  <si>
    <t xml:space="preserve">SecOps Engineering</t>
  </si>
  <si>
    <t xml:space="preserve">WAF procurement and deployment</t>
  </si>
  <si>
    <t xml:space="preserve">Infrastructure / SecOps</t>
  </si>
  <si>
    <t xml:space="preserve">Session hardening (15-min timeout, login limits)</t>
  </si>
  <si>
    <t xml:space="preserve">AppSec Team</t>
  </si>
  <si>
    <t xml:space="preserve">MFA enhancement rollout</t>
  </si>
  <si>
    <t xml:space="preserve">Short-term</t>
  </si>
  <si>
    <t xml:space="preserve">IAM and Identity Lead</t>
  </si>
  <si>
    <t xml:space="preserve">API gateway proof of concept and architecture</t>
  </si>
  <si>
    <t xml:space="preserve">Architecture and GRC</t>
  </si>
  <si>
    <t xml:space="preserve">API gateway production cutover</t>
  </si>
  <si>
    <t xml:space="preserve">Long-term</t>
  </si>
  <si>
    <t xml:space="preserve">CISO and Lead GRC Analyst</t>
  </si>
  <si>
    <t xml:space="preserve">Continuous monitoring and quarterly testing</t>
  </si>
  <si>
    <t xml:space="preserve">Re-audit and risk re-quantification</t>
  </si>
  <si>
    <t xml:space="preserve">Lead GRC Analyst</t>
  </si>
  <si>
    <t xml:space="preserve">Total budget</t>
  </si>
  <si>
    <t xml:space="preserve">Check against total initial investment (should be 0)</t>
  </si>
  <si>
    <t xml:space="preserve">Required graphs (all linked to the calculation sheets)</t>
  </si>
</sst>
</file>

<file path=xl/styles.xml><?xml version="1.0" encoding="utf-8"?>
<styleSheet xmlns="http://schemas.openxmlformats.org/spreadsheetml/2006/main">
  <numFmts count="12">
    <numFmt numFmtId="164" formatCode="General"/>
    <numFmt numFmtId="165" formatCode="0.00"/>
    <numFmt numFmtId="166" formatCode="\$#,##0;&quot;($&quot;#,##0\);\-"/>
    <numFmt numFmtId="167" formatCode="#,##0"/>
    <numFmt numFmtId="168" formatCode="0%"/>
    <numFmt numFmtId="169" formatCode="0"/>
    <numFmt numFmtId="170" formatCode="0.0%"/>
    <numFmt numFmtId="171" formatCode="#,##0.00%"/>
    <numFmt numFmtId="172" formatCode="0.0000"/>
    <numFmt numFmtId="173" formatCode="0.0"/>
    <numFmt numFmtId="174" formatCode="\$#,##0"/>
    <numFmt numFmtId="175" formatCode="#,##0%"/>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0"/>
      <name val="Arial"/>
      <family val="0"/>
      <charset val="1"/>
    </font>
    <font>
      <sz val="10"/>
      <color rgb="FF0000FF"/>
      <name val="Arial"/>
      <family val="0"/>
      <charset val="1"/>
    </font>
    <font>
      <sz val="10"/>
      <name val="Arial"/>
      <family val="0"/>
      <charset val="1"/>
    </font>
    <font>
      <sz val="10"/>
      <color rgb="FF008000"/>
      <name val="Arial"/>
      <family val="0"/>
      <charset val="1"/>
    </font>
    <font>
      <b val="true"/>
      <sz val="10"/>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s>
  <fills count="7">
    <fill>
      <patternFill patternType="none"/>
    </fill>
    <fill>
      <patternFill patternType="gray125"/>
    </fill>
    <fill>
      <patternFill patternType="solid">
        <fgColor rgb="FFFFFF00"/>
        <bgColor rgb="FFFFFF00"/>
      </patternFill>
    </fill>
    <fill>
      <patternFill patternType="solid">
        <fgColor rgb="FF1F3864"/>
        <bgColor rgb="FF333333"/>
      </patternFill>
    </fill>
    <fill>
      <patternFill patternType="solid">
        <fgColor rgb="FFF8C471"/>
        <bgColor rgb="FFFAD7A0"/>
      </patternFill>
    </fill>
    <fill>
      <patternFill patternType="solid">
        <fgColor rgb="FFF1948A"/>
        <bgColor rgb="FFE59866"/>
      </patternFill>
    </fill>
    <fill>
      <patternFill patternType="solid">
        <fgColor rgb="FF82E0AA"/>
        <bgColor rgb="FFABEBC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5" fontId="6" fillId="0" borderId="1" xfId="0" applyFont="tru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general" vertical="center" textRotation="0" wrapText="false" indent="0" shrinkToFit="false"/>
      <protection locked="true" hidden="false"/>
    </xf>
    <xf numFmtId="167" fontId="6" fillId="0" borderId="1" xfId="0" applyFont="true" applyBorder="true" applyAlignment="true" applyProtection="false">
      <alignment horizontal="general" vertical="center" textRotation="0" wrapText="false" indent="0" shrinkToFit="false"/>
      <protection locked="true" hidden="false"/>
    </xf>
    <xf numFmtId="168" fontId="6" fillId="0" borderId="1" xfId="0" applyFont="true" applyBorder="tru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8" fontId="6" fillId="2" borderId="0" xfId="0" applyFont="true" applyBorder="false" applyAlignment="true" applyProtection="false">
      <alignment horizontal="left" vertical="center" textRotation="0" wrapText="false" indent="0" shrinkToFit="false"/>
      <protection locked="true" hidden="false"/>
    </xf>
    <xf numFmtId="166" fontId="6" fillId="2" borderId="0" xfId="0" applyFont="true" applyBorder="false" applyAlignment="true" applyProtection="false">
      <alignment horizontal="left" vertical="center" textRotation="0" wrapText="false" indent="0" shrinkToFit="false"/>
      <protection locked="true" hidden="false"/>
    </xf>
    <xf numFmtId="169" fontId="6" fillId="2" borderId="0" xfId="0" applyFont="true" applyBorder="false" applyAlignment="true" applyProtection="false">
      <alignment horizontal="left" vertical="center" textRotation="0" wrapText="false" indent="0" shrinkToFit="false"/>
      <protection locked="true" hidden="false"/>
    </xf>
    <xf numFmtId="167" fontId="6" fillId="0" borderId="0" xfId="0" applyFont="true" applyBorder="false" applyAlignment="true" applyProtection="false">
      <alignment horizontal="left" vertical="center" textRotation="0" wrapText="false" indent="0" shrinkToFit="false"/>
      <protection locked="true" hidden="false"/>
    </xf>
    <xf numFmtId="166" fontId="6" fillId="0" borderId="0" xfId="0" applyFont="true" applyBorder="false" applyAlignment="true" applyProtection="false">
      <alignment horizontal="left" vertical="center" textRotation="0" wrapText="false" indent="0" shrinkToFit="false"/>
      <protection locked="true" hidden="false"/>
    </xf>
    <xf numFmtId="169" fontId="6" fillId="0" borderId="0" xfId="0" applyFont="true" applyBorder="fals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general" vertical="center" textRotation="0" wrapText="false" indent="0" shrinkToFit="false"/>
      <protection locked="true" hidden="false"/>
    </xf>
    <xf numFmtId="166" fontId="7" fillId="0" borderId="1" xfId="0" applyFont="true" applyBorder="true" applyAlignment="true" applyProtection="false">
      <alignment horizontal="general" vertical="center" textRotation="0" wrapText="false" indent="0" shrinkToFit="false"/>
      <protection locked="true" hidden="false"/>
    </xf>
    <xf numFmtId="165" fontId="8" fillId="0" borderId="1" xfId="0" applyFont="true" applyBorder="true" applyAlignment="true" applyProtection="false">
      <alignment horizontal="general" vertical="center" textRotation="0" wrapText="false" indent="0" shrinkToFit="false"/>
      <protection locked="true" hidden="false"/>
    </xf>
    <xf numFmtId="170" fontId="7" fillId="0" borderId="1" xfId="0" applyFont="true" applyBorder="true" applyAlignment="true" applyProtection="false">
      <alignment horizontal="general" vertical="center" textRotation="0" wrapText="false" indent="0" shrinkToFit="false"/>
      <protection locked="true" hidden="false"/>
    </xf>
    <xf numFmtId="169"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6" fontId="5" fillId="0" borderId="1" xfId="0" applyFont="true" applyBorder="true" applyAlignment="true" applyProtection="false">
      <alignment horizontal="general" vertical="center" textRotation="0" wrapText="false" indent="0" shrinkToFit="false"/>
      <protection locked="true" hidden="false"/>
    </xf>
    <xf numFmtId="170" fontId="5" fillId="0" borderId="1" xfId="0" applyFont="true" applyBorder="true" applyAlignment="true" applyProtection="false">
      <alignment horizontal="general" vertical="center" textRotation="0" wrapText="false" indent="0" shrinkToFit="false"/>
      <protection locked="true" hidden="false"/>
    </xf>
    <xf numFmtId="165" fontId="7" fillId="0" borderId="1"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5" fillId="4" borderId="1" xfId="0" applyFont="true" applyBorder="true" applyAlignment="true" applyProtection="false">
      <alignment horizontal="center" vertical="center" textRotation="0" wrapText="false" indent="0" shrinkToFit="false"/>
      <protection locked="true" hidden="false"/>
    </xf>
    <xf numFmtId="164" fontId="5" fillId="5"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5" fillId="6" borderId="1"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6" fontId="8" fillId="0" borderId="1" xfId="0" applyFont="true" applyBorder="true" applyAlignment="true" applyProtection="false">
      <alignment horizontal="general" vertical="center" textRotation="0" wrapText="false" indent="0" shrinkToFit="false"/>
      <protection locked="true" hidden="false"/>
    </xf>
    <xf numFmtId="168" fontId="8" fillId="0" borderId="1" xfId="0" applyFont="true" applyBorder="true" applyAlignment="true" applyProtection="false">
      <alignment horizontal="general" vertical="center" textRotation="0" wrapText="false" indent="0" shrinkToFit="false"/>
      <protection locked="true" hidden="false"/>
    </xf>
    <xf numFmtId="171" fontId="7" fillId="0" borderId="1" xfId="0" applyFont="true" applyBorder="true" applyAlignment="true" applyProtection="false">
      <alignment horizontal="general" vertical="center" textRotation="0" wrapText="false" indent="0" shrinkToFit="false"/>
      <protection locked="true" hidden="false"/>
    </xf>
    <xf numFmtId="172" fontId="7" fillId="0" borderId="1" xfId="0" applyFont="true" applyBorder="true" applyAlignment="true" applyProtection="false">
      <alignment horizontal="general" vertical="center" textRotation="0" wrapText="false" indent="0" shrinkToFit="false"/>
      <protection locked="true" hidden="false"/>
    </xf>
    <xf numFmtId="173" fontId="7" fillId="0" borderId="1" xfId="0" applyFont="true" applyBorder="true" applyAlignment="true" applyProtection="false">
      <alignment horizontal="general" vertical="center" textRotation="0" wrapText="false" indent="0" shrinkToFit="false"/>
      <protection locked="true" hidden="false"/>
    </xf>
    <xf numFmtId="171" fontId="5" fillId="0" borderId="1" xfId="0" applyFont="true" applyBorder="true" applyAlignment="true" applyProtection="false">
      <alignment horizontal="general" vertical="center" textRotation="0" wrapText="false" indent="0" shrinkToFit="false"/>
      <protection locked="true" hidden="false"/>
    </xf>
    <xf numFmtId="172" fontId="5" fillId="0" borderId="1" xfId="0" applyFont="true" applyBorder="true" applyAlignment="true" applyProtection="false">
      <alignment horizontal="general" vertical="center" textRotation="0" wrapText="false" indent="0" shrinkToFit="false"/>
      <protection locked="true" hidden="false"/>
    </xf>
    <xf numFmtId="165" fontId="5" fillId="0" borderId="1" xfId="0" applyFont="true" applyBorder="true" applyAlignment="true" applyProtection="false">
      <alignment horizontal="general" vertical="center" textRotation="0" wrapText="false" indent="0" shrinkToFit="false"/>
      <protection locked="true" hidden="false"/>
    </xf>
    <xf numFmtId="173" fontId="5" fillId="0" borderId="1" xfId="0" applyFont="true" applyBorder="true" applyAlignment="true" applyProtection="false">
      <alignment horizontal="general" vertical="center" textRotation="0" wrapText="false" indent="0" shrinkToFit="false"/>
      <protection locked="true" hidden="false"/>
    </xf>
    <xf numFmtId="169" fontId="6" fillId="0" borderId="1" xfId="0" applyFont="true" applyBorder="true" applyAlignment="true" applyProtection="false">
      <alignment horizontal="center" vertical="center" textRotation="0" wrapText="false" indent="0" shrinkToFit="false"/>
      <protection locked="true" hidden="false"/>
    </xf>
    <xf numFmtId="170" fontId="8" fillId="0" borderId="1" xfId="0" applyFont="true" applyBorder="true" applyAlignment="true" applyProtection="false">
      <alignment horizontal="general" vertical="center" textRotation="0" wrapText="false" indent="0" shrinkToFit="false"/>
      <protection locked="true" hidden="false"/>
    </xf>
    <xf numFmtId="166" fontId="5" fillId="0" borderId="0" xfId="0" applyFont="true" applyBorder="false" applyAlignment="true" applyProtection="false">
      <alignment horizontal="general" vertical="center" textRotation="0" wrapText="false" indent="0" shrinkToFit="false"/>
      <protection locked="true" hidden="false"/>
    </xf>
    <xf numFmtId="166" fontId="7" fillId="0"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5B7B1"/>
        </patternFill>
      </fill>
    </dxf>
    <dxf>
      <fill>
        <patternFill>
          <bgColor rgb="FFFAD7A0"/>
        </patternFill>
      </fill>
    </dxf>
    <dxf>
      <fill>
        <patternFill>
          <bgColor rgb="FFABEBC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FCC"/>
      <rgbColor rgb="FFCCFFFF"/>
      <rgbColor rgb="FF660066"/>
      <rgbColor rgb="FFF1948A"/>
      <rgbColor rgb="FF0066CC"/>
      <rgbColor rgb="FFD9D9D9"/>
      <rgbColor rgb="FF000080"/>
      <rgbColor rgb="FFFF00FF"/>
      <rgbColor rgb="FFFFFF00"/>
      <rgbColor rgb="FF00FFFF"/>
      <rgbColor rgb="FF800080"/>
      <rgbColor rgb="FF800000"/>
      <rgbColor rgb="FF008080"/>
      <rgbColor rgb="FF0000FF"/>
      <rgbColor rgb="FF00CCFF"/>
      <rgbColor rgb="FFCCFFFF"/>
      <rgbColor rgb="FFABEBC6"/>
      <rgbColor rgb="FFFFFF99"/>
      <rgbColor rgb="FF82E0AA"/>
      <rgbColor rgb="FFF5B7B1"/>
      <rgbColor rgb="FFCC99FF"/>
      <rgbColor rgb="FFFAD7A0"/>
      <rgbColor rgb="FF2E86C1"/>
      <rgbColor rgb="FF33CCCC"/>
      <rgbColor rgb="FF99CC00"/>
      <rgbColor rgb="FFF8C471"/>
      <rgbColor rgb="FFF39C12"/>
      <rgbColor rgb="FFFF6600"/>
      <rgbColor rgb="FF4F81BD"/>
      <rgbColor rgb="FFE59866"/>
      <rgbColor rgb="FF1F3864"/>
      <rgbColor rgb="FF27AE60"/>
      <rgbColor rgb="FF003300"/>
      <rgbColor rgb="FF333300"/>
      <rgbColor rgb="FFC0392B"/>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Annualized Loss Expectancy (ALE) by vulnerability</a:t>
            </a:r>
          </a:p>
        </c:rich>
      </c:tx>
      <c:overlay val="0"/>
      <c:spPr>
        <a:noFill/>
        <a:ln w="0">
          <a:noFill/>
        </a:ln>
      </c:spPr>
    </c:title>
    <c:autoTitleDeleted val="0"/>
    <c:plotArea>
      <c:barChart>
        <c:barDir val="col"/>
        <c:grouping val="clustered"/>
        <c:varyColors val="0"/>
        <c:ser>
          <c:idx val="0"/>
          <c:order val="0"/>
          <c:tx>
            <c:strRef>
              <c:f>Phase1_ALE!E4</c:f>
              <c:strCache>
                <c:ptCount val="1"/>
                <c:pt idx="0">
                  <c:v>ALE ($ per year)</c:v>
                </c:pt>
              </c:strCache>
            </c:strRef>
          </c:tx>
          <c:spPr>
            <a:solidFill>
              <a:srgbClr val="4f81bd"/>
            </a:solidFill>
            <a:ln w="0">
              <a:noFill/>
            </a:ln>
          </c:spPr>
          <c:invertIfNegative val="0"/>
          <c:dPt>
            <c:idx val="0"/>
            <c:invertIfNegative val="0"/>
            <c:spPr>
              <a:solidFill>
                <a:srgbClr val="f39c12"/>
              </a:solidFill>
              <a:ln w="0">
                <a:noFill/>
              </a:ln>
            </c:spPr>
          </c:dPt>
          <c:dPt>
            <c:idx val="1"/>
            <c:invertIfNegative val="0"/>
            <c:spPr>
              <a:solidFill>
                <a:srgbClr val="c0392b"/>
              </a:solidFill>
              <a:ln w="0">
                <a:noFill/>
              </a:ln>
            </c:spPr>
          </c:dPt>
          <c:dPt>
            <c:idx val="2"/>
            <c:invertIfNegative val="0"/>
            <c:spPr>
              <a:solidFill>
                <a:srgbClr val="c0392b"/>
              </a:solidFill>
              <a:ln w="0">
                <a:noFill/>
              </a:ln>
            </c:spPr>
          </c:dPt>
          <c:dLbls>
            <c:numFmt formatCode="\$#,##0" sourceLinked="1"/>
            <c:dLbl>
              <c:idx val="0"/>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1"/>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2"/>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Phase1_ALE!$B$5:$B$7</c:f>
              <c:strCache>
                <c:ptCount val="3"/>
                <c:pt idx="0">
                  <c:v>API Authentication Bypass</c:v>
                </c:pt>
                <c:pt idx="1">
                  <c:v>Database Injection</c:v>
                </c:pt>
                <c:pt idx="2">
                  <c:v>Session Hijacking</c:v>
                </c:pt>
              </c:strCache>
            </c:strRef>
          </c:cat>
          <c:val>
            <c:numRef>
              <c:f>Phase1_ALE!$E$5:$E$7</c:f>
              <c:numCache>
                <c:formatCode>\$#,##0;"($"#,##0\);\-</c:formatCode>
                <c:ptCount val="3"/>
                <c:pt idx="0">
                  <c:v>750000</c:v>
                </c:pt>
                <c:pt idx="1">
                  <c:v>31250000</c:v>
                </c:pt>
                <c:pt idx="2">
                  <c:v>3000000</c:v>
                </c:pt>
              </c:numCache>
            </c:numRef>
          </c:val>
        </c:ser>
        <c:gapWidth val="150"/>
        <c:overlap val="0"/>
        <c:axId val="98306127"/>
        <c:axId val="46119426"/>
      </c:barChart>
      <c:catAx>
        <c:axId val="9830612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Vulnerability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119426"/>
        <c:crosses val="autoZero"/>
        <c:auto val="1"/>
        <c:lblAlgn val="ctr"/>
        <c:lblOffset val="100"/>
        <c:noMultiLvlLbl val="0"/>
      </c:catAx>
      <c:valAx>
        <c:axId val="4611942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ALE ($ per year)</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30612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Risk distribution: share of total ALE ($35.0M)</a:t>
            </a:r>
          </a:p>
        </c:rich>
      </c:tx>
      <c:overlay val="0"/>
      <c:spPr>
        <a:noFill/>
        <a:ln w="0">
          <a:noFill/>
        </a:ln>
      </c:spPr>
    </c:title>
    <c:autoTitleDeleted val="0"/>
    <c:plotArea>
      <c:pieChart>
        <c:varyColors val="1"/>
        <c:ser>
          <c:idx val="0"/>
          <c:order val="0"/>
          <c:tx>
            <c:strRef>
              <c:f>Phase1_ALE!E4</c:f>
              <c:strCache>
                <c:ptCount val="1"/>
                <c:pt idx="0">
                  <c:v>ALE ($ per year)</c:v>
                </c:pt>
              </c:strCache>
            </c:strRef>
          </c:tx>
          <c:spPr>
            <a:solidFill>
              <a:srgbClr val="4f81bd"/>
            </a:solidFill>
            <a:ln w="0">
              <a:noFill/>
            </a:ln>
          </c:spPr>
          <c:explosion val="0"/>
          <c:dPt>
            <c:idx val="0"/>
            <c:spPr>
              <a:solidFill>
                <a:srgbClr val="f39c12"/>
              </a:solidFill>
              <a:ln w="0">
                <a:noFill/>
              </a:ln>
            </c:spPr>
          </c:dPt>
          <c:dPt>
            <c:idx val="1"/>
            <c:spPr>
              <a:solidFill>
                <a:srgbClr val="c0392b"/>
              </a:solidFill>
              <a:ln w="0">
                <a:noFill/>
              </a:ln>
            </c:spPr>
          </c:dPt>
          <c:dPt>
            <c:idx val="2"/>
            <c:spPr>
              <a:solidFill>
                <a:srgbClr val="e59866"/>
              </a:solidFill>
              <a:ln w="0">
                <a:noFill/>
              </a:ln>
            </c:spPr>
          </c:dPt>
          <c:dLbls>
            <c:dLbl>
              <c:idx val="0"/>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1"/>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2"/>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showLeaderLines val="1"/>
          </c:dLbls>
          <c:cat>
            <c:strRef>
              <c:f>Phase1_ALE!$B$5:$B$7</c:f>
              <c:strCache>
                <c:ptCount val="3"/>
                <c:pt idx="0">
                  <c:v>API Authentication Bypass</c:v>
                </c:pt>
                <c:pt idx="1">
                  <c:v>Database Injection</c:v>
                </c:pt>
                <c:pt idx="2">
                  <c:v>Session Hijacking</c:v>
                </c:pt>
              </c:strCache>
            </c:strRef>
          </c:cat>
          <c:val>
            <c:numRef>
              <c:f>Phase1_ALE!$E$5:$E$7</c:f>
              <c:numCache>
                <c:formatCode>\$#,##0;"($"#,##0\);\-</c:formatCode>
                <c:ptCount val="3"/>
                <c:pt idx="0">
                  <c:v>750000</c:v>
                </c:pt>
                <c:pt idx="1">
                  <c:v>31250000</c:v>
                </c:pt>
                <c:pt idx="2">
                  <c:v>3000000</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Control cost vs effectiveness</a:t>
            </a:r>
          </a:p>
        </c:rich>
      </c:tx>
      <c:overlay val="0"/>
      <c:spPr>
        <a:noFill/>
        <a:ln w="0">
          <a:noFill/>
        </a:ln>
      </c:spPr>
    </c:title>
    <c:autoTitleDeleted val="0"/>
    <c:plotArea>
      <c:scatterChart>
        <c:scatterStyle val="lineMarker"/>
        <c:varyColors val="0"/>
        <c:ser>
          <c:idx val="0"/>
          <c:order val="0"/>
          <c:tx>
            <c:strRef>
              <c:f>Phase2_Controls!$A$5</c:f>
              <c:strCache>
                <c:ptCount val="1"/>
                <c:pt idx="0">
                  <c:v>Advanced API Security Gateway</c:v>
                </c:pt>
              </c:strCache>
            </c:strRef>
          </c:tx>
          <c:spPr>
            <a:solidFill>
              <a:srgbClr val="2e86c1"/>
            </a:solidFill>
            <a:ln w="47520">
              <a:noFill/>
            </a:ln>
          </c:spPr>
          <c:marker>
            <c:symbol val="circle"/>
            <c:size val="13"/>
            <c:spPr>
              <a:solidFill>
                <a:srgbClr val="2e86c1"/>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Phase2_Controls!$C$5</c:f>
              <c:numCache>
                <c:formatCode>\$#,##0;"($"#,##0\);\-</c:formatCode>
                <c:ptCount val="1"/>
                <c:pt idx="0">
                  <c:v>350000</c:v>
                </c:pt>
              </c:numCache>
            </c:numRef>
          </c:xVal>
          <c:yVal>
            <c:numRef>
              <c:f>Phase2_Controls!$E$5</c:f>
              <c:numCache>
                <c:formatCode>0%</c:formatCode>
                <c:ptCount val="1"/>
                <c:pt idx="0">
                  <c:v>0.9</c:v>
                </c:pt>
              </c:numCache>
            </c:numRef>
          </c:yVal>
          <c:smooth val="1"/>
        </c:ser>
        <c:ser>
          <c:idx val="1"/>
          <c:order val="1"/>
          <c:tx>
            <c:strRef>
              <c:f>Phase2_Controls!$A$6</c:f>
              <c:strCache>
                <c:ptCount val="1"/>
                <c:pt idx="0">
                  <c:v>Web Application Firewall (WAF)</c:v>
                </c:pt>
              </c:strCache>
            </c:strRef>
          </c:tx>
          <c:spPr>
            <a:solidFill>
              <a:srgbClr val="27ae60"/>
            </a:solidFill>
            <a:ln w="47520">
              <a:noFill/>
            </a:ln>
          </c:spPr>
          <c:marker>
            <c:symbol val="circle"/>
            <c:size val="13"/>
            <c:spPr>
              <a:solidFill>
                <a:srgbClr val="27ae60"/>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Phase2_Controls!$C$6</c:f>
              <c:numCache>
                <c:formatCode>\$#,##0;"($"#,##0\);\-</c:formatCode>
                <c:ptCount val="1"/>
                <c:pt idx="0">
                  <c:v>150000</c:v>
                </c:pt>
              </c:numCache>
            </c:numRef>
          </c:xVal>
          <c:yVal>
            <c:numRef>
              <c:f>Phase2_Controls!$E$6</c:f>
              <c:numCache>
                <c:formatCode>0%</c:formatCode>
                <c:ptCount val="1"/>
                <c:pt idx="0">
                  <c:v>0.75</c:v>
                </c:pt>
              </c:numCache>
            </c:numRef>
          </c:yVal>
          <c:smooth val="1"/>
        </c:ser>
        <c:ser>
          <c:idx val="2"/>
          <c:order val="2"/>
          <c:tx>
            <c:strRef>
              <c:f>Phase2_Controls!$A$7</c:f>
              <c:strCache>
                <c:ptCount val="1"/>
                <c:pt idx="0">
                  <c:v>Multi-Factor Authentication Enhancement</c:v>
                </c:pt>
              </c:strCache>
            </c:strRef>
          </c:tx>
          <c:spPr>
            <a:solidFill>
              <a:srgbClr val="1f3864"/>
            </a:solidFill>
            <a:ln w="47520">
              <a:noFill/>
            </a:ln>
          </c:spPr>
          <c:marker>
            <c:symbol val="circle"/>
            <c:size val="13"/>
            <c:spPr>
              <a:solidFill>
                <a:srgbClr val="1f3864"/>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Phase2_Controls!$C$7</c:f>
              <c:numCache>
                <c:formatCode>\$#,##0;"($"#,##0\);\-</c:formatCode>
                <c:ptCount val="1"/>
                <c:pt idx="0">
                  <c:v>200000</c:v>
                </c:pt>
              </c:numCache>
            </c:numRef>
          </c:xVal>
          <c:yVal>
            <c:numRef>
              <c:f>Phase2_Controls!$E$7</c:f>
              <c:numCache>
                <c:formatCode>0%</c:formatCode>
                <c:ptCount val="1"/>
                <c:pt idx="0">
                  <c:v>0.95</c:v>
                </c:pt>
              </c:numCache>
            </c:numRef>
          </c:yVal>
          <c:smooth val="1"/>
        </c:ser>
        <c:axId val="65980722"/>
        <c:axId val="70638383"/>
      </c:scatterChart>
      <c:valAx>
        <c:axId val="65980722"/>
        <c:scaling>
          <c:orientation val="minMax"/>
          <c:max val="400000"/>
          <c:min val="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Initial investment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0638383"/>
        <c:crosses val="autoZero"/>
        <c:crossBetween val="midCat"/>
      </c:valAx>
      <c:valAx>
        <c:axId val="70638383"/>
        <c:scaling>
          <c:orientation val="minMax"/>
          <c:max val="1"/>
          <c:min val="0.6"/>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Effectiveness (risk reduction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980722"/>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ROI comparison across controls</a:t>
            </a:r>
          </a:p>
        </c:rich>
      </c:tx>
      <c:overlay val="0"/>
      <c:spPr>
        <a:noFill/>
        <a:ln w="0">
          <a:noFill/>
        </a:ln>
      </c:spPr>
    </c:title>
    <c:autoTitleDeleted val="0"/>
    <c:plotArea>
      <c:barChart>
        <c:barDir val="bar"/>
        <c:grouping val="clustered"/>
        <c:varyColors val="0"/>
        <c:ser>
          <c:idx val="0"/>
          <c:order val="0"/>
          <c:tx>
            <c:strRef>
              <c:f>Phase2_Controls!J4</c:f>
              <c:strCache>
                <c:ptCount val="1"/>
                <c:pt idx="0">
                  <c:v>ROI on initial investment</c:v>
                </c:pt>
              </c:strCache>
            </c:strRef>
          </c:tx>
          <c:spPr>
            <a:solidFill>
              <a:srgbClr val="1f3864"/>
            </a:solidFill>
            <a:ln w="0">
              <a:solidFill>
                <a:srgbClr val="1f3864"/>
              </a:solidFill>
            </a:ln>
          </c:spPr>
          <c:invertIfNegative val="0"/>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Phase2_Controls!$A$5:$A$7</c:f>
              <c:strCache>
                <c:ptCount val="3"/>
                <c:pt idx="0">
                  <c:v>Advanced API Security Gateway</c:v>
                </c:pt>
                <c:pt idx="1">
                  <c:v>Web Application Firewall (WAF)</c:v>
                </c:pt>
                <c:pt idx="2">
                  <c:v>Multi-Factor Authentication Enhancement</c:v>
                </c:pt>
              </c:strCache>
            </c:strRef>
          </c:cat>
          <c:val>
            <c:numRef>
              <c:f>Phase2_Controls!$J$5:$J$7</c:f>
              <c:numCache>
                <c:formatCode>#,##0.00%</c:formatCode>
                <c:ptCount val="3"/>
                <c:pt idx="0">
                  <c:v>0.928571428571429</c:v>
                </c:pt>
                <c:pt idx="1">
                  <c:v>155.25</c:v>
                </c:pt>
                <c:pt idx="2">
                  <c:v>13.25</c:v>
                </c:pt>
              </c:numCache>
            </c:numRef>
          </c:val>
        </c:ser>
        <c:ser>
          <c:idx val="1"/>
          <c:order val="1"/>
          <c:tx>
            <c:strRef>
              <c:f>Phase2_Controls!K4</c:f>
              <c:strCache>
                <c:ptCount val="1"/>
                <c:pt idx="0">
                  <c:v>ROI on Year-1 total cost</c:v>
                </c:pt>
              </c:strCache>
            </c:strRef>
          </c:tx>
          <c:spPr>
            <a:solidFill>
              <a:srgbClr val="2e86c1"/>
            </a:solidFill>
            <a:ln w="0">
              <a:solidFill>
                <a:srgbClr val="2e86c1"/>
              </a:solidFill>
            </a:ln>
          </c:spPr>
          <c:invertIfNegative val="0"/>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Phase2_Controls!$A$5:$A$7</c:f>
              <c:strCache>
                <c:ptCount val="3"/>
                <c:pt idx="0">
                  <c:v>Advanced API Security Gateway</c:v>
                </c:pt>
                <c:pt idx="1">
                  <c:v>Web Application Firewall (WAF)</c:v>
                </c:pt>
                <c:pt idx="2">
                  <c:v>Multi-Factor Authentication Enhancement</c:v>
                </c:pt>
              </c:strCache>
            </c:strRef>
          </c:cat>
          <c:val>
            <c:numRef>
              <c:f>Phase2_Controls!$K$5:$K$7</c:f>
              <c:numCache>
                <c:formatCode>#,##0.00%</c:formatCode>
                <c:ptCount val="3"/>
                <c:pt idx="0">
                  <c:v>0.6875</c:v>
                </c:pt>
                <c:pt idx="1">
                  <c:v>132.928571428571</c:v>
                </c:pt>
                <c:pt idx="2">
                  <c:v>11.3913043478261</c:v>
                </c:pt>
              </c:numCache>
            </c:numRef>
          </c:val>
        </c:ser>
        <c:gapWidth val="150"/>
        <c:overlap val="0"/>
        <c:axId val="10843637"/>
        <c:axId val="74377791"/>
      </c:barChart>
      <c:catAx>
        <c:axId val="10843637"/>
        <c:scaling>
          <c:orientation val="maxMin"/>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Control</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4377791"/>
        <c:crosses val="autoZero"/>
        <c:auto val="1"/>
        <c:lblAlgn val="ctr"/>
        <c:lblOffset val="100"/>
        <c:noMultiLvlLbl val="0"/>
      </c:catAx>
      <c:valAx>
        <c:axId val="74377791"/>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ROI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84363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Risk exposure before vs after controls</a:t>
            </a:r>
          </a:p>
        </c:rich>
      </c:tx>
      <c:overlay val="0"/>
      <c:spPr>
        <a:noFill/>
        <a:ln w="0">
          <a:noFill/>
        </a:ln>
      </c:spPr>
    </c:title>
    <c:autoTitleDeleted val="0"/>
    <c:plotArea>
      <c:barChart>
        <c:barDir val="col"/>
        <c:grouping val="clustered"/>
        <c:varyColors val="0"/>
        <c:ser>
          <c:idx val="0"/>
          <c:order val="0"/>
          <c:tx>
            <c:strRef>
              <c:f>Phase1_ALE!E4</c:f>
              <c:strCache>
                <c:ptCount val="1"/>
                <c:pt idx="0">
                  <c:v>ALE ($ per year)</c:v>
                </c:pt>
              </c:strCache>
            </c:strRef>
          </c:tx>
          <c:spPr>
            <a:solidFill>
              <a:srgbClr val="c0392b"/>
            </a:solidFill>
            <a:ln w="0">
              <a:solidFill>
                <a:srgbClr val="c0392b"/>
              </a:solidFill>
            </a:ln>
          </c:spPr>
          <c:invertIfNegative val="0"/>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Phase1_ALE!$B$5:$B$7</c:f>
              <c:strCache>
                <c:ptCount val="3"/>
                <c:pt idx="0">
                  <c:v>API Authentication Bypass</c:v>
                </c:pt>
                <c:pt idx="1">
                  <c:v>Database Injection</c:v>
                </c:pt>
                <c:pt idx="2">
                  <c:v>Session Hijacking</c:v>
                </c:pt>
              </c:strCache>
            </c:strRef>
          </c:cat>
          <c:val>
            <c:numRef>
              <c:f>Phase1_ALE!$E$5:$E$7</c:f>
              <c:numCache>
                <c:formatCode>\$#,##0;"($"#,##0\);\-</c:formatCode>
                <c:ptCount val="3"/>
                <c:pt idx="0">
                  <c:v>750000</c:v>
                </c:pt>
                <c:pt idx="1">
                  <c:v>31250000</c:v>
                </c:pt>
                <c:pt idx="2">
                  <c:v>3000000</c:v>
                </c:pt>
              </c:numCache>
            </c:numRef>
          </c:val>
        </c:ser>
        <c:ser>
          <c:idx val="1"/>
          <c:order val="1"/>
          <c:tx>
            <c:strRef>
              <c:f>Phase2_Controls!H4</c:f>
              <c:strCache>
                <c:ptCount val="1"/>
                <c:pt idx="0">
                  <c:v>Residual ALE ($)</c:v>
                </c:pt>
              </c:strCache>
            </c:strRef>
          </c:tx>
          <c:spPr>
            <a:solidFill>
              <a:srgbClr val="27ae60"/>
            </a:solidFill>
            <a:ln w="0">
              <a:solidFill>
                <a:srgbClr val="27ae60"/>
              </a:solidFill>
            </a:ln>
          </c:spPr>
          <c:invertIfNegative val="0"/>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Phase1_ALE!$B$5:$B$7</c:f>
              <c:strCache>
                <c:ptCount val="3"/>
                <c:pt idx="0">
                  <c:v>API Authentication Bypass</c:v>
                </c:pt>
                <c:pt idx="1">
                  <c:v>Database Injection</c:v>
                </c:pt>
                <c:pt idx="2">
                  <c:v>Session Hijacking</c:v>
                </c:pt>
              </c:strCache>
            </c:strRef>
          </c:cat>
          <c:val>
            <c:numRef>
              <c:f>Phase2_Controls!$H$5:$H$7</c:f>
              <c:numCache>
                <c:formatCode>\$#,##0;"($"#,##0\);\-</c:formatCode>
                <c:ptCount val="3"/>
                <c:pt idx="0">
                  <c:v>75000</c:v>
                </c:pt>
                <c:pt idx="1">
                  <c:v>7812500</c:v>
                </c:pt>
                <c:pt idx="2">
                  <c:v>150000</c:v>
                </c:pt>
              </c:numCache>
            </c:numRef>
          </c:val>
        </c:ser>
        <c:gapWidth val="150"/>
        <c:overlap val="0"/>
        <c:axId val="32634475"/>
        <c:axId val="81025112"/>
      </c:barChart>
      <c:catAx>
        <c:axId val="3263447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Vulnerability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025112"/>
        <c:crosses val="autoZero"/>
        <c:auto val="1"/>
        <c:lblAlgn val="ctr"/>
        <c:lblOffset val="100"/>
        <c:noMultiLvlLbl val="0"/>
      </c:catAx>
      <c:valAx>
        <c:axId val="8102511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Annual loss exposure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263447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Control investment breakdown (initial vs annual maintenance)</a:t>
            </a:r>
          </a:p>
        </c:rich>
      </c:tx>
      <c:overlay val="0"/>
      <c:spPr>
        <a:noFill/>
        <a:ln w="0">
          <a:noFill/>
        </a:ln>
      </c:spPr>
    </c:title>
    <c:autoTitleDeleted val="0"/>
    <c:plotArea>
      <c:barChart>
        <c:barDir val="col"/>
        <c:grouping val="stacked"/>
        <c:varyColors val="0"/>
        <c:ser>
          <c:idx val="0"/>
          <c:order val="0"/>
          <c:tx>
            <c:strRef>
              <c:f>Phase2_Controls!C4</c:f>
              <c:strCache>
                <c:ptCount val="1"/>
                <c:pt idx="0">
                  <c:v>Initial investment ($)</c:v>
                </c:pt>
              </c:strCache>
            </c:strRef>
          </c:tx>
          <c:spPr>
            <a:solidFill>
              <a:srgbClr val="1f3864"/>
            </a:solidFill>
            <a:ln w="0">
              <a:solidFill>
                <a:srgbClr val="1f3864"/>
              </a:solidFill>
            </a:ln>
          </c:spPr>
          <c:invertIfNegative val="0"/>
          <c:dLbls>
            <c:numFmt formatCode="\$#,##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Phase2_Controls!$A$5:$A$7</c:f>
              <c:strCache>
                <c:ptCount val="3"/>
                <c:pt idx="0">
                  <c:v>Advanced API Security Gateway</c:v>
                </c:pt>
                <c:pt idx="1">
                  <c:v>Web Application Firewall (WAF)</c:v>
                </c:pt>
                <c:pt idx="2">
                  <c:v>Multi-Factor Authentication Enhancement</c:v>
                </c:pt>
              </c:strCache>
            </c:strRef>
          </c:cat>
          <c:val>
            <c:numRef>
              <c:f>Phase2_Controls!$C$5:$C$7</c:f>
              <c:numCache>
                <c:formatCode>\$#,##0;"($"#,##0\);\-</c:formatCode>
                <c:ptCount val="3"/>
                <c:pt idx="0">
                  <c:v>350000</c:v>
                </c:pt>
                <c:pt idx="1">
                  <c:v>150000</c:v>
                </c:pt>
                <c:pt idx="2">
                  <c:v>200000</c:v>
                </c:pt>
              </c:numCache>
            </c:numRef>
          </c:val>
        </c:ser>
        <c:ser>
          <c:idx val="1"/>
          <c:order val="1"/>
          <c:tx>
            <c:strRef>
              <c:f>Phase2_Controls!D4</c:f>
              <c:strCache>
                <c:ptCount val="1"/>
                <c:pt idx="0">
                  <c:v>Annual maintenance ($/yr)</c:v>
                </c:pt>
              </c:strCache>
            </c:strRef>
          </c:tx>
          <c:spPr>
            <a:solidFill>
              <a:srgbClr val="f39c12"/>
            </a:solidFill>
            <a:ln w="0">
              <a:solidFill>
                <a:srgbClr val="f39c12"/>
              </a:solidFill>
            </a:ln>
          </c:spPr>
          <c:invertIfNegative val="0"/>
          <c:dLbls>
            <c:numFmt formatCode="\$#,##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Phase2_Controls!$A$5:$A$7</c:f>
              <c:strCache>
                <c:ptCount val="3"/>
                <c:pt idx="0">
                  <c:v>Advanced API Security Gateway</c:v>
                </c:pt>
                <c:pt idx="1">
                  <c:v>Web Application Firewall (WAF)</c:v>
                </c:pt>
                <c:pt idx="2">
                  <c:v>Multi-Factor Authentication Enhancement</c:v>
                </c:pt>
              </c:strCache>
            </c:strRef>
          </c:cat>
          <c:val>
            <c:numRef>
              <c:f>Phase2_Controls!$D$5:$D$7</c:f>
              <c:numCache>
                <c:formatCode>\$#,##0;"($"#,##0\);\-</c:formatCode>
                <c:ptCount val="3"/>
                <c:pt idx="0">
                  <c:v>50000</c:v>
                </c:pt>
                <c:pt idx="1">
                  <c:v>25000</c:v>
                </c:pt>
                <c:pt idx="2">
                  <c:v>30000</c:v>
                </c:pt>
              </c:numCache>
            </c:numRef>
          </c:val>
        </c:ser>
        <c:gapWidth val="150"/>
        <c:overlap val="100"/>
        <c:axId val="86870299"/>
        <c:axId val="63052490"/>
      </c:barChart>
      <c:catAx>
        <c:axId val="8687029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Control</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052490"/>
        <c:crosses val="autoZero"/>
        <c:auto val="1"/>
        <c:lblAlgn val="ctr"/>
        <c:lblOffset val="100"/>
        <c:noMultiLvlLbl val="0"/>
      </c:catAx>
      <c:valAx>
        <c:axId val="6305249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Cost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87029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Risk exposure over time: without vs with controls (cumulative)</a:t>
            </a:r>
          </a:p>
        </c:rich>
      </c:tx>
      <c:overlay val="0"/>
      <c:spPr>
        <a:noFill/>
        <a:ln w="0">
          <a:noFill/>
        </a:ln>
      </c:spPr>
    </c:title>
    <c:autoTitleDeleted val="0"/>
    <c:plotArea>
      <c:lineChart>
        <c:grouping val="standard"/>
        <c:varyColors val="0"/>
        <c:ser>
          <c:idx val="0"/>
          <c:order val="0"/>
          <c:tx>
            <c:strRef>
              <c:f>Timeline!C4</c:f>
              <c:strCache>
                <c:ptCount val="1"/>
                <c:pt idx="0">
                  <c:v>Cumulative expected loss, no controls ($)</c:v>
                </c:pt>
              </c:strCache>
            </c:strRef>
          </c:tx>
          <c:spPr>
            <a:solidFill>
              <a:srgbClr val="c0392b"/>
            </a:solidFill>
            <a:ln w="28080">
              <a:solidFill>
                <a:srgbClr val="c0392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Timeline!$A$5:$A$17</c:f>
              <c:strCache>
                <c:ptCount val="13"/>
                <c:pt idx="0">
                  <c:v>0</c:v>
                </c:pt>
                <c:pt idx="1">
                  <c:v>1</c:v>
                </c:pt>
                <c:pt idx="2">
                  <c:v>2</c:v>
                </c:pt>
                <c:pt idx="3">
                  <c:v>3</c:v>
                </c:pt>
                <c:pt idx="4">
                  <c:v>4</c:v>
                </c:pt>
                <c:pt idx="5">
                  <c:v>5</c:v>
                </c:pt>
                <c:pt idx="6">
                  <c:v>6</c:v>
                </c:pt>
                <c:pt idx="7">
                  <c:v>7</c:v>
                </c:pt>
                <c:pt idx="8">
                  <c:v>8</c:v>
                </c:pt>
                <c:pt idx="9">
                  <c:v>9</c:v>
                </c:pt>
                <c:pt idx="10">
                  <c:v>10</c:v>
                </c:pt>
                <c:pt idx="11">
                  <c:v>11</c:v>
                </c:pt>
                <c:pt idx="12">
                  <c:v>12</c:v>
                </c:pt>
              </c:strCache>
            </c:strRef>
          </c:cat>
          <c:val>
            <c:numRef>
              <c:f>Timeline!$C$5:$C$17</c:f>
              <c:numCache>
                <c:formatCode>\$#,##0;"($"#,##0\);\-</c:formatCode>
                <c:ptCount val="13"/>
                <c:pt idx="0">
                  <c:v>0</c:v>
                </c:pt>
                <c:pt idx="1">
                  <c:v>8750000</c:v>
                </c:pt>
                <c:pt idx="2">
                  <c:v>17500000</c:v>
                </c:pt>
                <c:pt idx="3">
                  <c:v>26250000</c:v>
                </c:pt>
                <c:pt idx="4">
                  <c:v>35000000</c:v>
                </c:pt>
                <c:pt idx="5">
                  <c:v>43750000</c:v>
                </c:pt>
                <c:pt idx="6">
                  <c:v>52500000</c:v>
                </c:pt>
                <c:pt idx="7">
                  <c:v>61250000</c:v>
                </c:pt>
                <c:pt idx="8">
                  <c:v>70000000</c:v>
                </c:pt>
                <c:pt idx="9">
                  <c:v>78750000</c:v>
                </c:pt>
                <c:pt idx="10">
                  <c:v>87500000</c:v>
                </c:pt>
                <c:pt idx="11">
                  <c:v>96250000</c:v>
                </c:pt>
                <c:pt idx="12">
                  <c:v>105000000</c:v>
                </c:pt>
              </c:numCache>
            </c:numRef>
          </c:val>
          <c:smooth val="1"/>
        </c:ser>
        <c:ser>
          <c:idx val="1"/>
          <c:order val="1"/>
          <c:tx>
            <c:strRef>
              <c:f>Timeline!D4</c:f>
              <c:strCache>
                <c:ptCount val="1"/>
                <c:pt idx="0">
                  <c:v>Cumulative loss + control cost, with controls ($)</c:v>
                </c:pt>
              </c:strCache>
            </c:strRef>
          </c:tx>
          <c:spPr>
            <a:solidFill>
              <a:srgbClr val="27ae60"/>
            </a:solidFill>
            <a:ln w="28080">
              <a:solidFill>
                <a:srgbClr val="27ae6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Timeline!$A$5:$A$17</c:f>
              <c:strCache>
                <c:ptCount val="13"/>
                <c:pt idx="0">
                  <c:v>0</c:v>
                </c:pt>
                <c:pt idx="1">
                  <c:v>1</c:v>
                </c:pt>
                <c:pt idx="2">
                  <c:v>2</c:v>
                </c:pt>
                <c:pt idx="3">
                  <c:v>3</c:v>
                </c:pt>
                <c:pt idx="4">
                  <c:v>4</c:v>
                </c:pt>
                <c:pt idx="5">
                  <c:v>5</c:v>
                </c:pt>
                <c:pt idx="6">
                  <c:v>6</c:v>
                </c:pt>
                <c:pt idx="7">
                  <c:v>7</c:v>
                </c:pt>
                <c:pt idx="8">
                  <c:v>8</c:v>
                </c:pt>
                <c:pt idx="9">
                  <c:v>9</c:v>
                </c:pt>
                <c:pt idx="10">
                  <c:v>10</c:v>
                </c:pt>
                <c:pt idx="11">
                  <c:v>11</c:v>
                </c:pt>
                <c:pt idx="12">
                  <c:v>12</c:v>
                </c:pt>
              </c:strCache>
            </c:strRef>
          </c:cat>
          <c:val>
            <c:numRef>
              <c:f>Timeline!$D$5:$D$17</c:f>
              <c:numCache>
                <c:formatCode>\$#,##0;"($"#,##0\);\-</c:formatCode>
                <c:ptCount val="13"/>
                <c:pt idx="0">
                  <c:v>700000</c:v>
                </c:pt>
                <c:pt idx="1">
                  <c:v>2735625</c:v>
                </c:pt>
                <c:pt idx="2">
                  <c:v>4771250</c:v>
                </c:pt>
                <c:pt idx="3">
                  <c:v>6806875</c:v>
                </c:pt>
                <c:pt idx="4">
                  <c:v>8842500</c:v>
                </c:pt>
                <c:pt idx="5">
                  <c:v>10878125</c:v>
                </c:pt>
                <c:pt idx="6">
                  <c:v>12913750</c:v>
                </c:pt>
                <c:pt idx="7">
                  <c:v>14949375</c:v>
                </c:pt>
                <c:pt idx="8">
                  <c:v>16985000</c:v>
                </c:pt>
                <c:pt idx="9">
                  <c:v>19020625</c:v>
                </c:pt>
                <c:pt idx="10">
                  <c:v>21056250</c:v>
                </c:pt>
                <c:pt idx="11">
                  <c:v>23091875</c:v>
                </c:pt>
                <c:pt idx="12">
                  <c:v>25127500</c:v>
                </c:pt>
              </c:numCache>
            </c:numRef>
          </c:val>
          <c:smooth val="1"/>
        </c:ser>
        <c:hiLowLines>
          <c:spPr>
            <a:ln w="0">
              <a:noFill/>
            </a:ln>
          </c:spPr>
        </c:hiLowLines>
        <c:marker val="0"/>
        <c:axId val="58174053"/>
        <c:axId val="79594421"/>
      </c:lineChart>
      <c:catAx>
        <c:axId val="58174053"/>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Quarters after procurement</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594421"/>
        <c:crosses val="autoZero"/>
        <c:auto val="1"/>
        <c:lblAlgn val="ctr"/>
        <c:lblOffset val="100"/>
        <c:noMultiLvlLbl val="0"/>
      </c:catAx>
      <c:valAx>
        <c:axId val="7959442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Cumulative cost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17405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net benefit of the control portfolio</a:t>
            </a:r>
          </a:p>
        </c:rich>
      </c:tx>
      <c:overlay val="0"/>
      <c:spPr>
        <a:noFill/>
        <a:ln w="0">
          <a:noFill/>
        </a:ln>
      </c:spPr>
    </c:title>
    <c:autoTitleDeleted val="0"/>
    <c:plotArea>
      <c:lineChart>
        <c:grouping val="standard"/>
        <c:varyColors val="0"/>
        <c:ser>
          <c:idx val="0"/>
          <c:order val="0"/>
          <c:tx>
            <c:strRef>
              <c:f>Timeline!E4</c:f>
              <c:strCache>
                <c:ptCount val="1"/>
                <c:pt idx="0">
                  <c:v>Cumulative net benefit, total portfolio ($)</c:v>
                </c:pt>
              </c:strCache>
            </c:strRef>
          </c:tx>
          <c:spPr>
            <a:solidFill>
              <a:srgbClr val="1f3864"/>
            </a:solidFill>
            <a:ln w="28080">
              <a:solidFill>
                <a:srgbClr val="1f386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Timeline!$A$5:$A$17</c:f>
              <c:strCache>
                <c:ptCount val="13"/>
                <c:pt idx="0">
                  <c:v>0</c:v>
                </c:pt>
                <c:pt idx="1">
                  <c:v>1</c:v>
                </c:pt>
                <c:pt idx="2">
                  <c:v>2</c:v>
                </c:pt>
                <c:pt idx="3">
                  <c:v>3</c:v>
                </c:pt>
                <c:pt idx="4">
                  <c:v>4</c:v>
                </c:pt>
                <c:pt idx="5">
                  <c:v>5</c:v>
                </c:pt>
                <c:pt idx="6">
                  <c:v>6</c:v>
                </c:pt>
                <c:pt idx="7">
                  <c:v>7</c:v>
                </c:pt>
                <c:pt idx="8">
                  <c:v>8</c:v>
                </c:pt>
                <c:pt idx="9">
                  <c:v>9</c:v>
                </c:pt>
                <c:pt idx="10">
                  <c:v>10</c:v>
                </c:pt>
                <c:pt idx="11">
                  <c:v>11</c:v>
                </c:pt>
                <c:pt idx="12">
                  <c:v>12</c:v>
                </c:pt>
              </c:strCache>
            </c:strRef>
          </c:cat>
          <c:val>
            <c:numRef>
              <c:f>Timeline!$E$5:$E$17</c:f>
              <c:numCache>
                <c:formatCode>\$#,##0;"($"#,##0\);\-</c:formatCode>
                <c:ptCount val="13"/>
                <c:pt idx="0">
                  <c:v>-700000</c:v>
                </c:pt>
                <c:pt idx="1">
                  <c:v>6014375</c:v>
                </c:pt>
                <c:pt idx="2">
                  <c:v>12728750</c:v>
                </c:pt>
                <c:pt idx="3">
                  <c:v>19443125</c:v>
                </c:pt>
                <c:pt idx="4">
                  <c:v>26157500</c:v>
                </c:pt>
                <c:pt idx="5">
                  <c:v>32871875</c:v>
                </c:pt>
                <c:pt idx="6">
                  <c:v>39586250</c:v>
                </c:pt>
                <c:pt idx="7">
                  <c:v>46300625</c:v>
                </c:pt>
                <c:pt idx="8">
                  <c:v>53015000</c:v>
                </c:pt>
                <c:pt idx="9">
                  <c:v>59729375</c:v>
                </c:pt>
                <c:pt idx="10">
                  <c:v>66443750</c:v>
                </c:pt>
                <c:pt idx="11">
                  <c:v>73158125</c:v>
                </c:pt>
                <c:pt idx="12">
                  <c:v>79872500</c:v>
                </c:pt>
              </c:numCache>
            </c:numRef>
          </c:val>
          <c:smooth val="1"/>
        </c:ser>
        <c:hiLowLines>
          <c:spPr>
            <a:ln w="0">
              <a:noFill/>
            </a:ln>
          </c:spPr>
        </c:hiLowLines>
        <c:marker val="0"/>
        <c:axId val="10457717"/>
        <c:axId val="74256410"/>
      </c:lineChart>
      <c:catAx>
        <c:axId val="1045771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Quarters after procurement</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4256410"/>
        <c:crosses val="autoZero"/>
        <c:auto val="1"/>
        <c:lblAlgn val="ctr"/>
        <c:lblOffset val="100"/>
        <c:noMultiLvlLbl val="0"/>
      </c:catAx>
      <c:valAx>
        <c:axId val="7425641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Cumulative net benefit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45771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Risk treatment timeline (days from approval)</a:t>
            </a:r>
          </a:p>
        </c:rich>
      </c:tx>
      <c:overlay val="0"/>
      <c:spPr>
        <a:noFill/>
        <a:ln w="0">
          <a:noFill/>
        </a:ln>
      </c:spPr>
    </c:title>
    <c:autoTitleDeleted val="0"/>
    <c:plotArea>
      <c:barChart>
        <c:barDir val="bar"/>
        <c:grouping val="stacked"/>
        <c:varyColors val="0"/>
        <c:ser>
          <c:idx val="0"/>
          <c:order val="0"/>
          <c:tx>
            <c:strRef>
              <c:f>Gantt!H4</c:f>
              <c:strCache>
                <c:ptCount val="1"/>
                <c:pt idx="0">
                  <c:v>Offset (chart helper)</c:v>
                </c:pt>
              </c:strCache>
            </c:strRef>
          </c:tx>
          <c:spPr>
            <a:no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Gantt!$A$5:$A$12</c:f>
              <c:strCache>
                <c:ptCount val="8"/>
                <c:pt idx="0">
                  <c:v>SQLi virtual patching and input sanitization</c:v>
                </c:pt>
                <c:pt idx="1">
                  <c:v>WAF procurement and deployment</c:v>
                </c:pt>
                <c:pt idx="2">
                  <c:v>Session hardening (15-min timeout, login limits)</c:v>
                </c:pt>
                <c:pt idx="3">
                  <c:v>MFA enhancement rollout</c:v>
                </c:pt>
                <c:pt idx="4">
                  <c:v>API gateway proof of concept and architecture</c:v>
                </c:pt>
                <c:pt idx="5">
                  <c:v>API gateway production cutover</c:v>
                </c:pt>
                <c:pt idx="6">
                  <c:v>Continuous monitoring and quarterly testing</c:v>
                </c:pt>
                <c:pt idx="7">
                  <c:v>Re-audit and risk re-quantification</c:v>
                </c:pt>
              </c:strCache>
            </c:strRef>
          </c:cat>
          <c:val>
            <c:numRef>
              <c:f>Gantt!$H$5:$H$12</c:f>
              <c:numCache>
                <c:formatCode>0</c:formatCode>
                <c:ptCount val="8"/>
                <c:pt idx="0">
                  <c:v>0</c:v>
                </c:pt>
                <c:pt idx="1">
                  <c:v>10</c:v>
                </c:pt>
                <c:pt idx="2">
                  <c:v>20</c:v>
                </c:pt>
                <c:pt idx="3">
                  <c:v>30</c:v>
                </c:pt>
                <c:pt idx="4">
                  <c:v>60</c:v>
                </c:pt>
                <c:pt idx="5">
                  <c:v>90</c:v>
                </c:pt>
                <c:pt idx="6">
                  <c:v>90</c:v>
                </c:pt>
                <c:pt idx="7">
                  <c:v>299</c:v>
                </c:pt>
              </c:numCache>
            </c:numRef>
          </c:val>
        </c:ser>
        <c:ser>
          <c:idx val="1"/>
          <c:order val="1"/>
          <c:tx>
            <c:strRef>
              <c:f>Gantt!I4</c:f>
              <c:strCache>
                <c:ptCount val="1"/>
                <c:pt idx="0">
                  <c:v>Immediate (0-30d)</c:v>
                </c:pt>
              </c:strCache>
            </c:strRef>
          </c:tx>
          <c:spPr>
            <a:solidFill>
              <a:srgbClr val="c0392b"/>
            </a:solidFill>
            <a:ln w="0">
              <a:solidFill>
                <a:srgbClr val="c0392b"/>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Gantt!$A$5:$A$12</c:f>
              <c:strCache>
                <c:ptCount val="8"/>
                <c:pt idx="0">
                  <c:v>SQLi virtual patching and input sanitization</c:v>
                </c:pt>
                <c:pt idx="1">
                  <c:v>WAF procurement and deployment</c:v>
                </c:pt>
                <c:pt idx="2">
                  <c:v>Session hardening (15-min timeout, login limits)</c:v>
                </c:pt>
                <c:pt idx="3">
                  <c:v>MFA enhancement rollout</c:v>
                </c:pt>
                <c:pt idx="4">
                  <c:v>API gateway proof of concept and architecture</c:v>
                </c:pt>
                <c:pt idx="5">
                  <c:v>API gateway production cutover</c:v>
                </c:pt>
                <c:pt idx="6">
                  <c:v>Continuous monitoring and quarterly testing</c:v>
                </c:pt>
                <c:pt idx="7">
                  <c:v>Re-audit and risk re-quantification</c:v>
                </c:pt>
              </c:strCache>
            </c:strRef>
          </c:cat>
          <c:val>
            <c:numRef>
              <c:f>Gantt!$I$5:$I$12</c:f>
              <c:numCache>
                <c:formatCode>0</c:formatCode>
                <c:ptCount val="8"/>
                <c:pt idx="0">
                  <c:v>10</c:v>
                </c:pt>
                <c:pt idx="1">
                  <c:v>10</c:v>
                </c:pt>
                <c:pt idx="2">
                  <c:v>10</c:v>
                </c:pt>
                <c:pt idx="3">
                  <c:v>0</c:v>
                </c:pt>
                <c:pt idx="4">
                  <c:v>0</c:v>
                </c:pt>
                <c:pt idx="5">
                  <c:v>0</c:v>
                </c:pt>
                <c:pt idx="6">
                  <c:v>0</c:v>
                </c:pt>
                <c:pt idx="7">
                  <c:v>0</c:v>
                </c:pt>
              </c:numCache>
            </c:numRef>
          </c:val>
        </c:ser>
        <c:ser>
          <c:idx val="2"/>
          <c:order val="2"/>
          <c:tx>
            <c:strRef>
              <c:f>Gantt!J4</c:f>
              <c:strCache>
                <c:ptCount val="1"/>
                <c:pt idx="0">
                  <c:v>Short-term (31-90d)</c:v>
                </c:pt>
              </c:strCache>
            </c:strRef>
          </c:tx>
          <c:spPr>
            <a:solidFill>
              <a:srgbClr val="f39c12"/>
            </a:solidFill>
            <a:ln w="0">
              <a:solidFill>
                <a:srgbClr val="f39c12"/>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Gantt!$A$5:$A$12</c:f>
              <c:strCache>
                <c:ptCount val="8"/>
                <c:pt idx="0">
                  <c:v>SQLi virtual patching and input sanitization</c:v>
                </c:pt>
                <c:pt idx="1">
                  <c:v>WAF procurement and deployment</c:v>
                </c:pt>
                <c:pt idx="2">
                  <c:v>Session hardening (15-min timeout, login limits)</c:v>
                </c:pt>
                <c:pt idx="3">
                  <c:v>MFA enhancement rollout</c:v>
                </c:pt>
                <c:pt idx="4">
                  <c:v>API gateway proof of concept and architecture</c:v>
                </c:pt>
                <c:pt idx="5">
                  <c:v>API gateway production cutover</c:v>
                </c:pt>
                <c:pt idx="6">
                  <c:v>Continuous monitoring and quarterly testing</c:v>
                </c:pt>
                <c:pt idx="7">
                  <c:v>Re-audit and risk re-quantification</c:v>
                </c:pt>
              </c:strCache>
            </c:strRef>
          </c:cat>
          <c:val>
            <c:numRef>
              <c:f>Gantt!$J$5:$J$12</c:f>
              <c:numCache>
                <c:formatCode>0</c:formatCode>
                <c:ptCount val="8"/>
                <c:pt idx="0">
                  <c:v>0</c:v>
                </c:pt>
                <c:pt idx="1">
                  <c:v>0</c:v>
                </c:pt>
                <c:pt idx="2">
                  <c:v>0</c:v>
                </c:pt>
                <c:pt idx="3">
                  <c:v>30</c:v>
                </c:pt>
                <c:pt idx="4">
                  <c:v>30</c:v>
                </c:pt>
                <c:pt idx="5">
                  <c:v>0</c:v>
                </c:pt>
                <c:pt idx="6">
                  <c:v>0</c:v>
                </c:pt>
                <c:pt idx="7">
                  <c:v>0</c:v>
                </c:pt>
              </c:numCache>
            </c:numRef>
          </c:val>
        </c:ser>
        <c:ser>
          <c:idx val="3"/>
          <c:order val="3"/>
          <c:tx>
            <c:strRef>
              <c:f>Gantt!K4</c:f>
              <c:strCache>
                <c:ptCount val="1"/>
                <c:pt idx="0">
                  <c:v>Long-term (91-365d)</c:v>
                </c:pt>
              </c:strCache>
            </c:strRef>
          </c:tx>
          <c:spPr>
            <a:solidFill>
              <a:srgbClr val="27ae60"/>
            </a:solidFill>
            <a:ln w="0">
              <a:solidFill>
                <a:srgbClr val="27ae6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Gantt!$A$5:$A$12</c:f>
              <c:strCache>
                <c:ptCount val="8"/>
                <c:pt idx="0">
                  <c:v>SQLi virtual patching and input sanitization</c:v>
                </c:pt>
                <c:pt idx="1">
                  <c:v>WAF procurement and deployment</c:v>
                </c:pt>
                <c:pt idx="2">
                  <c:v>Session hardening (15-min timeout, login limits)</c:v>
                </c:pt>
                <c:pt idx="3">
                  <c:v>MFA enhancement rollout</c:v>
                </c:pt>
                <c:pt idx="4">
                  <c:v>API gateway proof of concept and architecture</c:v>
                </c:pt>
                <c:pt idx="5">
                  <c:v>API gateway production cutover</c:v>
                </c:pt>
                <c:pt idx="6">
                  <c:v>Continuous monitoring and quarterly testing</c:v>
                </c:pt>
                <c:pt idx="7">
                  <c:v>Re-audit and risk re-quantification</c:v>
                </c:pt>
              </c:strCache>
            </c:strRef>
          </c:cat>
          <c:val>
            <c:numRef>
              <c:f>Gantt!$K$5:$K$12</c:f>
              <c:numCache>
                <c:formatCode>0</c:formatCode>
                <c:ptCount val="8"/>
                <c:pt idx="0">
                  <c:v>0</c:v>
                </c:pt>
                <c:pt idx="1">
                  <c:v>0</c:v>
                </c:pt>
                <c:pt idx="2">
                  <c:v>0</c:v>
                </c:pt>
                <c:pt idx="3">
                  <c:v>0</c:v>
                </c:pt>
                <c:pt idx="4">
                  <c:v>0</c:v>
                </c:pt>
                <c:pt idx="5">
                  <c:v>180</c:v>
                </c:pt>
                <c:pt idx="6">
                  <c:v>275</c:v>
                </c:pt>
                <c:pt idx="7">
                  <c:v>66</c:v>
                </c:pt>
              </c:numCache>
            </c:numRef>
          </c:val>
        </c:ser>
        <c:gapWidth val="150"/>
        <c:overlap val="100"/>
        <c:axId val="41560619"/>
        <c:axId val="5895172"/>
      </c:barChart>
      <c:catAx>
        <c:axId val="41560619"/>
        <c:scaling>
          <c:orientation val="maxMin"/>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Task</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95172"/>
        <c:crosses val="autoZero"/>
        <c:auto val="1"/>
        <c:lblAlgn val="ctr"/>
        <c:lblOffset val="100"/>
        <c:noMultiLvlLbl val="0"/>
      </c:catAx>
      <c:valAx>
        <c:axId val="5895172"/>
        <c:scaling>
          <c:orientation val="minMax"/>
          <c:max val="365"/>
          <c:min val="0"/>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Day</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560619"/>
        <c:crosses val="autoZero"/>
        <c:crossBetween val="between"/>
        <c:majorUnit val="30"/>
      </c:valAx>
      <c:spPr>
        <a:noFill/>
        <a:ln w="0">
          <a:noFill/>
        </a:ln>
      </c:spPr>
    </c:plotArea>
    <c:legend>
      <c:legendPos val="b"/>
      <c:legendEntry>
        <c:idx val="0"/>
        <c:delete val="1"/>
      </c:legendEntry>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160560</xdr:rowOff>
    </xdr:from>
    <xdr:to>
      <xdr:col>10</xdr:col>
      <xdr:colOff>4680</xdr:colOff>
      <xdr:row>18</xdr:row>
      <xdr:rowOff>161640</xdr:rowOff>
    </xdr:to>
    <xdr:graphicFrame>
      <xdr:nvGraphicFramePr>
        <xdr:cNvPr id="0" name="Chart 1"/>
        <xdr:cNvGraphicFramePr/>
      </xdr:nvGraphicFramePr>
      <xdr:xfrm>
        <a:off x="0" y="380880"/>
        <a:ext cx="611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1</xdr:row>
      <xdr:rowOff>160560</xdr:rowOff>
    </xdr:from>
    <xdr:to>
      <xdr:col>21</xdr:col>
      <xdr:colOff>4680</xdr:colOff>
      <xdr:row>18</xdr:row>
      <xdr:rowOff>161640</xdr:rowOff>
    </xdr:to>
    <xdr:graphicFrame>
      <xdr:nvGraphicFramePr>
        <xdr:cNvPr id="1" name="Chart 2"/>
        <xdr:cNvGraphicFramePr/>
      </xdr:nvGraphicFramePr>
      <xdr:xfrm>
        <a:off x="6726600" y="380880"/>
        <a:ext cx="611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20</xdr:row>
      <xdr:rowOff>160920</xdr:rowOff>
    </xdr:from>
    <xdr:to>
      <xdr:col>10</xdr:col>
      <xdr:colOff>4680</xdr:colOff>
      <xdr:row>37</xdr:row>
      <xdr:rowOff>162000</xdr:rowOff>
    </xdr:to>
    <xdr:graphicFrame>
      <xdr:nvGraphicFramePr>
        <xdr:cNvPr id="2" name="Chart 3"/>
        <xdr:cNvGraphicFramePr/>
      </xdr:nvGraphicFramePr>
      <xdr:xfrm>
        <a:off x="0" y="4000680"/>
        <a:ext cx="611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0</xdr:colOff>
      <xdr:row>20</xdr:row>
      <xdr:rowOff>160920</xdr:rowOff>
    </xdr:from>
    <xdr:to>
      <xdr:col>21</xdr:col>
      <xdr:colOff>4680</xdr:colOff>
      <xdr:row>37</xdr:row>
      <xdr:rowOff>162000</xdr:rowOff>
    </xdr:to>
    <xdr:graphicFrame>
      <xdr:nvGraphicFramePr>
        <xdr:cNvPr id="3" name="Chart 4"/>
        <xdr:cNvGraphicFramePr/>
      </xdr:nvGraphicFramePr>
      <xdr:xfrm>
        <a:off x="6726600" y="4000680"/>
        <a:ext cx="611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39</xdr:row>
      <xdr:rowOff>160920</xdr:rowOff>
    </xdr:from>
    <xdr:to>
      <xdr:col>10</xdr:col>
      <xdr:colOff>4680</xdr:colOff>
      <xdr:row>56</xdr:row>
      <xdr:rowOff>162000</xdr:rowOff>
    </xdr:to>
    <xdr:graphicFrame>
      <xdr:nvGraphicFramePr>
        <xdr:cNvPr id="4" name="Chart 5"/>
        <xdr:cNvGraphicFramePr/>
      </xdr:nvGraphicFramePr>
      <xdr:xfrm>
        <a:off x="0" y="7620120"/>
        <a:ext cx="6119640" cy="323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0</xdr:colOff>
      <xdr:row>39</xdr:row>
      <xdr:rowOff>160920</xdr:rowOff>
    </xdr:from>
    <xdr:to>
      <xdr:col>21</xdr:col>
      <xdr:colOff>4680</xdr:colOff>
      <xdr:row>56</xdr:row>
      <xdr:rowOff>162000</xdr:rowOff>
    </xdr:to>
    <xdr:graphicFrame>
      <xdr:nvGraphicFramePr>
        <xdr:cNvPr id="5" name="Chart 6"/>
        <xdr:cNvGraphicFramePr/>
      </xdr:nvGraphicFramePr>
      <xdr:xfrm>
        <a:off x="6726600" y="7620120"/>
        <a:ext cx="6119640" cy="323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58</xdr:row>
      <xdr:rowOff>160560</xdr:rowOff>
    </xdr:from>
    <xdr:to>
      <xdr:col>10</xdr:col>
      <xdr:colOff>4680</xdr:colOff>
      <xdr:row>75</xdr:row>
      <xdr:rowOff>162000</xdr:rowOff>
    </xdr:to>
    <xdr:graphicFrame>
      <xdr:nvGraphicFramePr>
        <xdr:cNvPr id="6" name="Chart 7"/>
        <xdr:cNvGraphicFramePr/>
      </xdr:nvGraphicFramePr>
      <xdr:xfrm>
        <a:off x="0" y="11239560"/>
        <a:ext cx="6119640" cy="3239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0</xdr:colOff>
      <xdr:row>58</xdr:row>
      <xdr:rowOff>160560</xdr:rowOff>
    </xdr:from>
    <xdr:to>
      <xdr:col>21</xdr:col>
      <xdr:colOff>4680</xdr:colOff>
      <xdr:row>75</xdr:row>
      <xdr:rowOff>162000</xdr:rowOff>
    </xdr:to>
    <xdr:graphicFrame>
      <xdr:nvGraphicFramePr>
        <xdr:cNvPr id="7" name="Chart 8"/>
        <xdr:cNvGraphicFramePr/>
      </xdr:nvGraphicFramePr>
      <xdr:xfrm>
        <a:off x="6726600" y="11239560"/>
        <a:ext cx="6119640" cy="32396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77</xdr:row>
      <xdr:rowOff>160560</xdr:rowOff>
    </xdr:from>
    <xdr:to>
      <xdr:col>14</xdr:col>
      <xdr:colOff>78480</xdr:colOff>
      <xdr:row>96</xdr:row>
      <xdr:rowOff>140760</xdr:rowOff>
    </xdr:to>
    <xdr:graphicFrame>
      <xdr:nvGraphicFramePr>
        <xdr:cNvPr id="8" name="Chart 9"/>
        <xdr:cNvGraphicFramePr/>
      </xdr:nvGraphicFramePr>
      <xdr:xfrm>
        <a:off x="0" y="14859000"/>
        <a:ext cx="8639640" cy="35996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9.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2" t="s">
        <v>2</v>
      </c>
    </row>
    <row r="5" customFormat="false" ht="15" hidden="false" customHeight="false" outlineLevel="0" collapsed="false">
      <c r="A5" s="3" t="s">
        <v>3</v>
      </c>
      <c r="B5" s="4" t="s">
        <v>4</v>
      </c>
    </row>
    <row r="6" customFormat="false" ht="15" hidden="false" customHeight="false" outlineLevel="0" collapsed="false">
      <c r="A6" s="4" t="s">
        <v>5</v>
      </c>
      <c r="B6" s="4" t="s">
        <v>6</v>
      </c>
    </row>
    <row r="7" customFormat="false" ht="15" hidden="false" customHeight="false" outlineLevel="0" collapsed="false">
      <c r="A7" s="5" t="s">
        <v>7</v>
      </c>
      <c r="B7" s="4" t="s">
        <v>8</v>
      </c>
    </row>
    <row r="8" customFormat="false" ht="15" hidden="false" customHeight="false" outlineLevel="0" collapsed="false">
      <c r="A8" s="6" t="s">
        <v>9</v>
      </c>
      <c r="B8" s="4" t="s">
        <v>10</v>
      </c>
    </row>
    <row r="10" customFormat="false" ht="15" hidden="false" customHeight="false" outlineLevel="0" collapsed="false">
      <c r="A10" s="2" t="s">
        <v>11</v>
      </c>
    </row>
    <row r="11" customFormat="false" ht="15" hidden="false" customHeight="false" outlineLevel="0" collapsed="false">
      <c r="A11" s="2" t="s">
        <v>12</v>
      </c>
      <c r="B11" s="4" t="s">
        <v>13</v>
      </c>
    </row>
    <row r="12" customFormat="false" ht="15" hidden="false" customHeight="false" outlineLevel="0" collapsed="false">
      <c r="A12" s="2" t="s">
        <v>14</v>
      </c>
      <c r="B12" s="4" t="s">
        <v>15</v>
      </c>
    </row>
    <row r="13" customFormat="false" ht="15" hidden="false" customHeight="false" outlineLevel="0" collapsed="false">
      <c r="A13" s="2" t="s">
        <v>16</v>
      </c>
      <c r="B13" s="4" t="s">
        <v>17</v>
      </c>
    </row>
    <row r="14" customFormat="false" ht="15" hidden="false" customHeight="false" outlineLevel="0" collapsed="false">
      <c r="A14" s="2" t="s">
        <v>18</v>
      </c>
      <c r="B14" s="4" t="s">
        <v>19</v>
      </c>
    </row>
    <row r="15" customFormat="false" ht="15" hidden="false" customHeight="false" outlineLevel="0" collapsed="false">
      <c r="A15" s="2" t="s">
        <v>20</v>
      </c>
      <c r="B15" s="4" t="s">
        <v>21</v>
      </c>
    </row>
    <row r="16" customFormat="false" ht="15" hidden="false" customHeight="false" outlineLevel="0" collapsed="false">
      <c r="A16" s="2" t="s">
        <v>22</v>
      </c>
      <c r="B16" s="4" t="s">
        <v>23</v>
      </c>
    </row>
    <row r="17" customFormat="false" ht="15" hidden="false" customHeight="false" outlineLevel="0" collapsed="false">
      <c r="A17" s="2" t="s">
        <v>24</v>
      </c>
      <c r="B17" s="4" t="s">
        <v>25</v>
      </c>
    </row>
    <row r="18" customFormat="false" ht="15" hidden="false" customHeight="false" outlineLevel="0" collapsed="false">
      <c r="A18" s="2" t="s">
        <v>26</v>
      </c>
      <c r="B18" s="4" t="s">
        <v>27</v>
      </c>
    </row>
    <row r="20" customFormat="false" ht="15" hidden="false" customHeight="false" outlineLevel="0" collapsed="false">
      <c r="A20" s="2" t="s">
        <v>28</v>
      </c>
    </row>
    <row r="21" customFormat="false" ht="42" hidden="false" customHeight="true" outlineLevel="0" collapsed="false">
      <c r="A21" s="2" t="s">
        <v>29</v>
      </c>
      <c r="B21" s="7" t="s">
        <v>30</v>
      </c>
    </row>
    <row r="22" customFormat="false" ht="42" hidden="false" customHeight="true" outlineLevel="0" collapsed="false">
      <c r="A22" s="2" t="s">
        <v>31</v>
      </c>
      <c r="B22" s="7" t="s">
        <v>32</v>
      </c>
    </row>
    <row r="23" customFormat="false" ht="42" hidden="false" customHeight="true" outlineLevel="0" collapsed="false">
      <c r="A23" s="2" t="s">
        <v>33</v>
      </c>
      <c r="B23" s="7" t="s">
        <v>34</v>
      </c>
    </row>
    <row r="24" customFormat="false" ht="42" hidden="false" customHeight="true" outlineLevel="0" collapsed="false">
      <c r="A24" s="2" t="s">
        <v>35</v>
      </c>
      <c r="B24" s="7" t="s">
        <v>36</v>
      </c>
    </row>
    <row r="25" customFormat="false" ht="42" hidden="false" customHeight="true" outlineLevel="0" collapsed="false">
      <c r="A25" s="2" t="s">
        <v>37</v>
      </c>
      <c r="B25" s="7" t="s">
        <v>38</v>
      </c>
    </row>
    <row r="26" customFormat="false" ht="42" hidden="false" customHeight="true" outlineLevel="0" collapsed="false">
      <c r="A26" s="2" t="s">
        <v>39</v>
      </c>
      <c r="B26" s="7" t="s">
        <v>40</v>
      </c>
    </row>
    <row r="27" customFormat="false" ht="42" hidden="false" customHeight="true" outlineLevel="0" collapsed="false">
      <c r="A27" s="2" t="s">
        <v>41</v>
      </c>
      <c r="B27" s="7" t="s">
        <v>42</v>
      </c>
    </row>
    <row r="28" customFormat="false" ht="42" hidden="false" customHeight="true" outlineLevel="0" collapsed="false">
      <c r="A28" s="2" t="s">
        <v>43</v>
      </c>
      <c r="B28" s="7" t="s">
        <v>44</v>
      </c>
    </row>
    <row r="29" customFormat="false" ht="42" hidden="false" customHeight="true" outlineLevel="0" collapsed="false">
      <c r="A29" s="2" t="s">
        <v>45</v>
      </c>
      <c r="B29" s="7" t="s">
        <v>46</v>
      </c>
    </row>
    <row r="30" customFormat="false" ht="42" hidden="false" customHeight="true" outlineLevel="0" collapsed="false">
      <c r="A30" s="2" t="s">
        <v>47</v>
      </c>
      <c r="B30" s="7" t="s">
        <v>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0"/>
    <col collapsed="false" customWidth="true" hidden="false" outlineLevel="0" max="3" min="3" style="0" width="18"/>
    <col collapsed="false" customWidth="true" hidden="false" outlineLevel="0" max="5" min="4" style="0" width="16"/>
    <col collapsed="false" customWidth="true" hidden="false" outlineLevel="0" max="6" min="6" style="0" width="20"/>
    <col collapsed="false" customWidth="true" hidden="false" outlineLevel="0" max="7" min="7" style="0" width="36"/>
  </cols>
  <sheetData>
    <row r="1" customFormat="false" ht="17.35" hidden="false" customHeight="false" outlineLevel="0" collapsed="false">
      <c r="A1" s="1" t="s">
        <v>49</v>
      </c>
    </row>
    <row r="2" customFormat="false" ht="15" hidden="false" customHeight="false" outlineLevel="0" collapsed="false">
      <c r="A2" s="4" t="s">
        <v>50</v>
      </c>
    </row>
    <row r="3" customFormat="false" ht="42" hidden="false" customHeight="true" outlineLevel="0" collapsed="false">
      <c r="A3" s="8" t="s">
        <v>51</v>
      </c>
      <c r="B3" s="8" t="s">
        <v>52</v>
      </c>
      <c r="C3" s="8" t="s">
        <v>53</v>
      </c>
      <c r="D3" s="8" t="s">
        <v>54</v>
      </c>
      <c r="E3" s="8" t="s">
        <v>55</v>
      </c>
      <c r="F3" s="8" t="s">
        <v>56</v>
      </c>
      <c r="G3" s="8" t="s">
        <v>57</v>
      </c>
    </row>
    <row r="4" customFormat="false" ht="15" hidden="false" customHeight="false" outlineLevel="0" collapsed="false">
      <c r="A4" s="9" t="s">
        <v>58</v>
      </c>
      <c r="B4" s="10" t="s">
        <v>59</v>
      </c>
      <c r="C4" s="11" t="n">
        <v>0.15</v>
      </c>
      <c r="D4" s="12"/>
      <c r="E4" s="12"/>
      <c r="F4" s="13" t="n">
        <v>5000000</v>
      </c>
      <c r="G4" s="10" t="s">
        <v>60</v>
      </c>
    </row>
    <row r="5" customFormat="false" ht="15" hidden="false" customHeight="false" outlineLevel="0" collapsed="false">
      <c r="A5" s="9" t="s">
        <v>61</v>
      </c>
      <c r="B5" s="10" t="s">
        <v>62</v>
      </c>
      <c r="C5" s="11" t="n">
        <v>0.25</v>
      </c>
      <c r="D5" s="14" t="n">
        <v>500000</v>
      </c>
      <c r="E5" s="13" t="n">
        <v>250</v>
      </c>
      <c r="F5" s="12"/>
      <c r="G5" s="10" t="s">
        <v>63</v>
      </c>
    </row>
    <row r="6" customFormat="false" ht="15" hidden="false" customHeight="false" outlineLevel="0" collapsed="false">
      <c r="A6" s="9" t="s">
        <v>64</v>
      </c>
      <c r="B6" s="10" t="s">
        <v>65</v>
      </c>
      <c r="C6" s="11" t="n">
        <v>0.4</v>
      </c>
      <c r="D6" s="14" t="n">
        <v>5000</v>
      </c>
      <c r="E6" s="13" t="n">
        <v>1500</v>
      </c>
      <c r="F6" s="12"/>
      <c r="G6" s="10" t="s">
        <v>66</v>
      </c>
    </row>
    <row r="9" customFormat="false" ht="42" hidden="false" customHeight="true" outlineLevel="0" collapsed="false">
      <c r="A9" s="8" t="s">
        <v>51</v>
      </c>
      <c r="B9" s="8" t="s">
        <v>67</v>
      </c>
      <c r="C9" s="8" t="s">
        <v>68</v>
      </c>
      <c r="D9" s="8" t="s">
        <v>69</v>
      </c>
      <c r="E9" s="8" t="s">
        <v>70</v>
      </c>
      <c r="F9" s="8" t="s">
        <v>71</v>
      </c>
    </row>
    <row r="10" customFormat="false" ht="15" hidden="false" customHeight="false" outlineLevel="0" collapsed="false">
      <c r="A10" s="9" t="s">
        <v>72</v>
      </c>
      <c r="B10" s="10" t="s">
        <v>60</v>
      </c>
      <c r="C10" s="13" t="n">
        <v>350000</v>
      </c>
      <c r="D10" s="13" t="n">
        <v>50000</v>
      </c>
      <c r="E10" s="15" t="n">
        <v>0.9</v>
      </c>
      <c r="F10" s="16" t="s">
        <v>58</v>
      </c>
    </row>
    <row r="11" customFormat="false" ht="15" hidden="false" customHeight="false" outlineLevel="0" collapsed="false">
      <c r="A11" s="9" t="s">
        <v>73</v>
      </c>
      <c r="B11" s="10" t="s">
        <v>63</v>
      </c>
      <c r="C11" s="13" t="n">
        <v>150000</v>
      </c>
      <c r="D11" s="13" t="n">
        <v>25000</v>
      </c>
      <c r="E11" s="15" t="n">
        <v>0.75</v>
      </c>
      <c r="F11" s="16" t="s">
        <v>61</v>
      </c>
    </row>
    <row r="12" customFormat="false" ht="15" hidden="false" customHeight="false" outlineLevel="0" collapsed="false">
      <c r="A12" s="9" t="s">
        <v>74</v>
      </c>
      <c r="B12" s="10" t="s">
        <v>66</v>
      </c>
      <c r="C12" s="13" t="n">
        <v>200000</v>
      </c>
      <c r="D12" s="13" t="n">
        <v>30000</v>
      </c>
      <c r="E12" s="15" t="n">
        <v>0.95</v>
      </c>
      <c r="F12" s="16" t="s">
        <v>64</v>
      </c>
    </row>
    <row r="14" customFormat="false" ht="15" hidden="false" customHeight="false" outlineLevel="0" collapsed="false">
      <c r="A14" s="2" t="s">
        <v>75</v>
      </c>
    </row>
    <row r="15" customFormat="false" ht="15" hidden="false" customHeight="false" outlineLevel="0" collapsed="false">
      <c r="A15" s="4" t="s">
        <v>76</v>
      </c>
      <c r="B15" s="17" t="n">
        <v>0.3</v>
      </c>
    </row>
    <row r="16" customFormat="false" ht="15" hidden="false" customHeight="false" outlineLevel="0" collapsed="false">
      <c r="A16" s="4" t="s">
        <v>77</v>
      </c>
      <c r="B16" s="17" t="n">
        <v>0.1</v>
      </c>
    </row>
    <row r="17" customFormat="false" ht="15" hidden="false" customHeight="false" outlineLevel="0" collapsed="false">
      <c r="A17" s="4" t="s">
        <v>78</v>
      </c>
      <c r="B17" s="18" t="n">
        <v>10000000</v>
      </c>
    </row>
    <row r="18" customFormat="false" ht="15" hidden="false" customHeight="false" outlineLevel="0" collapsed="false">
      <c r="A18" s="4" t="s">
        <v>79</v>
      </c>
      <c r="B18" s="18" t="n">
        <v>1000000</v>
      </c>
    </row>
    <row r="19" customFormat="false" ht="15" hidden="false" customHeight="false" outlineLevel="0" collapsed="false">
      <c r="A19" s="4" t="s">
        <v>80</v>
      </c>
      <c r="B19" s="19" t="n">
        <v>6</v>
      </c>
    </row>
    <row r="20" customFormat="false" ht="15" hidden="false" customHeight="false" outlineLevel="0" collapsed="false">
      <c r="A20" s="4" t="s">
        <v>81</v>
      </c>
      <c r="B20" s="19" t="n">
        <v>3</v>
      </c>
    </row>
    <row r="21" customFormat="false" ht="15" hidden="false" customHeight="false" outlineLevel="0" collapsed="false">
      <c r="A21" s="4" t="s">
        <v>82</v>
      </c>
      <c r="B21" s="19" t="n">
        <v>3</v>
      </c>
    </row>
    <row r="22" customFormat="false" ht="15" hidden="false" customHeight="false" outlineLevel="0" collapsed="false">
      <c r="A22" s="4" t="s">
        <v>83</v>
      </c>
      <c r="B22" s="18" t="n">
        <v>500000</v>
      </c>
    </row>
    <row r="24" customFormat="false" ht="15" hidden="false" customHeight="false" outlineLevel="0" collapsed="false">
      <c r="A24" s="2" t="s">
        <v>84</v>
      </c>
    </row>
    <row r="25" customFormat="false" ht="15" hidden="false" customHeight="false" outlineLevel="0" collapsed="false">
      <c r="A25" s="4" t="s">
        <v>85</v>
      </c>
      <c r="B25" s="20" t="n">
        <v>500000</v>
      </c>
    </row>
    <row r="26" customFormat="false" ht="15" hidden="false" customHeight="false" outlineLevel="0" collapsed="false">
      <c r="A26" s="4" t="s">
        <v>86</v>
      </c>
      <c r="B26" s="21" t="n">
        <v>2500</v>
      </c>
    </row>
    <row r="27" customFormat="false" ht="15" hidden="false" customHeight="false" outlineLevel="0" collapsed="false">
      <c r="A27" s="4" t="s">
        <v>87</v>
      </c>
      <c r="B27" s="20" t="n">
        <v>50000</v>
      </c>
    </row>
    <row r="28" customFormat="false" ht="15" hidden="false" customHeight="false" outlineLevel="0" collapsed="false">
      <c r="A28" s="4" t="s">
        <v>88</v>
      </c>
      <c r="B28" s="22" t="n">
        <v>48</v>
      </c>
    </row>
    <row r="30" customFormat="false" ht="15" hidden="false" customHeight="false" outlineLevel="0" collapsed="false">
      <c r="A30" s="4" t="s">
        <v>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4"/>
    <col collapsed="false" customWidth="true" hidden="false" outlineLevel="0" max="3" min="3" style="0" width="18"/>
    <col collapsed="false" customWidth="true" hidden="false" outlineLevel="0" max="4" min="4" style="0" width="10"/>
    <col collapsed="false" customWidth="true" hidden="false" outlineLevel="0" max="5" min="5" style="0" width="18"/>
    <col collapsed="false" customWidth="true" hidden="false" outlineLevel="0" max="6" min="6" style="0" width="14"/>
    <col collapsed="false" customWidth="true" hidden="false" outlineLevel="0" max="7" min="7" style="0" width="12"/>
    <col collapsed="false" customWidth="true" hidden="false" outlineLevel="0" max="9" min="8" style="0" width="14"/>
    <col collapsed="false" customWidth="true" hidden="false" outlineLevel="0" max="10" min="10" style="0" width="12"/>
    <col collapsed="false" customWidth="true" hidden="false" outlineLevel="0" max="11" min="11" style="0" width="18"/>
  </cols>
  <sheetData>
    <row r="1" customFormat="false" ht="17.35" hidden="false" customHeight="false" outlineLevel="0" collapsed="false">
      <c r="A1" s="1" t="s">
        <v>90</v>
      </c>
    </row>
    <row r="2" customFormat="false" ht="15" hidden="false" customHeight="false" outlineLevel="0" collapsed="false">
      <c r="A2" s="4" t="s">
        <v>91</v>
      </c>
    </row>
    <row r="4" customFormat="false" ht="42" hidden="false" customHeight="true" outlineLevel="0" collapsed="false">
      <c r="A4" s="8" t="s">
        <v>51</v>
      </c>
      <c r="B4" s="8" t="s">
        <v>52</v>
      </c>
      <c r="C4" s="8" t="s">
        <v>92</v>
      </c>
      <c r="D4" s="8" t="s">
        <v>93</v>
      </c>
      <c r="E4" s="8" t="s">
        <v>94</v>
      </c>
      <c r="F4" s="8" t="s">
        <v>95</v>
      </c>
      <c r="G4" s="8" t="s">
        <v>96</v>
      </c>
      <c r="H4" s="8" t="s">
        <v>97</v>
      </c>
      <c r="I4" s="8" t="s">
        <v>98</v>
      </c>
      <c r="J4" s="8" t="s">
        <v>99</v>
      </c>
      <c r="K4" s="8" t="s">
        <v>100</v>
      </c>
    </row>
    <row r="5" customFormat="false" ht="15" hidden="false" customHeight="false" outlineLevel="0" collapsed="false">
      <c r="A5" s="23" t="str">
        <f aca="false">Inputs!A4</f>
        <v>F1</v>
      </c>
      <c r="B5" s="23" t="str">
        <f aca="false">Inputs!B4</f>
        <v>API Authentication Bypass</v>
      </c>
      <c r="C5" s="24" t="n">
        <f aca="false">IF(Inputs!F4&lt;&gt;"",Inputs!F4,Inputs!D4*Inputs!E4)</f>
        <v>5000000</v>
      </c>
      <c r="D5" s="25" t="n">
        <f aca="false">Inputs!C4</f>
        <v>0.15</v>
      </c>
      <c r="E5" s="24" t="n">
        <f aca="false">C5*D5</f>
        <v>750000</v>
      </c>
      <c r="F5" s="26" t="n">
        <f aca="false">E5/$E$8</f>
        <v>0.0214285714285714</v>
      </c>
      <c r="G5" s="27" t="n">
        <f aca="false">RANK(E5,$E$5:$E$7,0)</f>
        <v>3</v>
      </c>
      <c r="H5" s="28" t="str">
        <f aca="false">IF(D5&gt;=Inputs!$B$15,"High",IF(D5&gt;=Inputs!$B$16,"Medium","Low"))</f>
        <v>Medium</v>
      </c>
      <c r="I5" s="28" t="str">
        <f aca="false">IF(C5&gt;=Inputs!$B$17,"High",IF(C5&gt;=Inputs!$B$18,"Medium","Low"))</f>
        <v>Medium</v>
      </c>
      <c r="J5" s="27" t="n">
        <f aca="false">IF(H5="High",3,IF(H5="Medium",2,1))*IF(I5="High",3,IF(I5="Medium",2,1))</f>
        <v>4</v>
      </c>
      <c r="K5" s="29" t="str">
        <f aca="false">IF(J5&gt;=Inputs!$B$19,"High",IF(J5&gt;=Inputs!$B$20,"Medium","Low"))</f>
        <v>Medium</v>
      </c>
    </row>
    <row r="6" customFormat="false" ht="15" hidden="false" customHeight="false" outlineLevel="0" collapsed="false">
      <c r="A6" s="23" t="str">
        <f aca="false">Inputs!A5</f>
        <v>F2</v>
      </c>
      <c r="B6" s="23" t="str">
        <f aca="false">Inputs!B5</f>
        <v>Database Injection</v>
      </c>
      <c r="C6" s="24" t="n">
        <f aca="false">IF(Inputs!F5&lt;&gt;"",Inputs!F5,Inputs!D5*Inputs!E5)</f>
        <v>125000000</v>
      </c>
      <c r="D6" s="25" t="n">
        <f aca="false">Inputs!C5</f>
        <v>0.25</v>
      </c>
      <c r="E6" s="24" t="n">
        <f aca="false">C6*D6</f>
        <v>31250000</v>
      </c>
      <c r="F6" s="26" t="n">
        <f aca="false">E6/$E$8</f>
        <v>0.892857142857143</v>
      </c>
      <c r="G6" s="27" t="n">
        <f aca="false">RANK(E6,$E$5:$E$7,0)</f>
        <v>1</v>
      </c>
      <c r="H6" s="28" t="str">
        <f aca="false">IF(D6&gt;=Inputs!$B$15,"High",IF(D6&gt;=Inputs!$B$16,"Medium","Low"))</f>
        <v>Medium</v>
      </c>
      <c r="I6" s="28" t="str">
        <f aca="false">IF(C6&gt;=Inputs!$B$17,"High",IF(C6&gt;=Inputs!$B$18,"Medium","Low"))</f>
        <v>High</v>
      </c>
      <c r="J6" s="27" t="n">
        <f aca="false">IF(H6="High",3,IF(H6="Medium",2,1))*IF(I6="High",3,IF(I6="Medium",2,1))</f>
        <v>6</v>
      </c>
      <c r="K6" s="29" t="str">
        <f aca="false">IF(J6&gt;=Inputs!$B$19,"High",IF(J6&gt;=Inputs!$B$20,"Medium","Low"))</f>
        <v>High</v>
      </c>
    </row>
    <row r="7" customFormat="false" ht="15" hidden="false" customHeight="false" outlineLevel="0" collapsed="false">
      <c r="A7" s="23" t="str">
        <f aca="false">Inputs!A6</f>
        <v>F3</v>
      </c>
      <c r="B7" s="23" t="str">
        <f aca="false">Inputs!B6</f>
        <v>Session Hijacking</v>
      </c>
      <c r="C7" s="24" t="n">
        <f aca="false">IF(Inputs!F6&lt;&gt;"",Inputs!F6,Inputs!D6*Inputs!E6)</f>
        <v>7500000</v>
      </c>
      <c r="D7" s="25" t="n">
        <f aca="false">Inputs!C6</f>
        <v>0.4</v>
      </c>
      <c r="E7" s="24" t="n">
        <f aca="false">C7*D7</f>
        <v>3000000</v>
      </c>
      <c r="F7" s="26" t="n">
        <f aca="false">E7/$E$8</f>
        <v>0.0857142857142857</v>
      </c>
      <c r="G7" s="27" t="n">
        <f aca="false">RANK(E7,$E$5:$E$7,0)</f>
        <v>2</v>
      </c>
      <c r="H7" s="28" t="str">
        <f aca="false">IF(D7&gt;=Inputs!$B$15,"High",IF(D7&gt;=Inputs!$B$16,"Medium","Low"))</f>
        <v>High</v>
      </c>
      <c r="I7" s="28" t="str">
        <f aca="false">IF(C7&gt;=Inputs!$B$17,"High",IF(C7&gt;=Inputs!$B$18,"Medium","Low"))</f>
        <v>Medium</v>
      </c>
      <c r="J7" s="27" t="n">
        <f aca="false">IF(H7="High",3,IF(H7="Medium",2,1))*IF(I7="High",3,IF(I7="Medium",2,1))</f>
        <v>6</v>
      </c>
      <c r="K7" s="29" t="str">
        <f aca="false">IF(J7&gt;=Inputs!$B$19,"High",IF(J7&gt;=Inputs!$B$20,"Medium","Low"))</f>
        <v>High</v>
      </c>
    </row>
    <row r="8" customFormat="false" ht="15" hidden="false" customHeight="false" outlineLevel="0" collapsed="false">
      <c r="A8" s="9" t="s">
        <v>101</v>
      </c>
      <c r="B8" s="12"/>
      <c r="C8" s="12"/>
      <c r="D8" s="12"/>
      <c r="E8" s="30" t="n">
        <f aca="false">SUM(E5:E7)</f>
        <v>35000000</v>
      </c>
      <c r="F8" s="31" t="n">
        <f aca="false">SUM(F5:F7)</f>
        <v>1</v>
      </c>
      <c r="G8" s="12"/>
      <c r="H8" s="12"/>
      <c r="I8" s="12"/>
      <c r="J8" s="12"/>
      <c r="K8" s="12"/>
    </row>
    <row r="11" customFormat="false" ht="15" hidden="false" customHeight="false" outlineLevel="0" collapsed="false">
      <c r="A11" s="2" t="s">
        <v>102</v>
      </c>
    </row>
    <row r="12" customFormat="false" ht="42" hidden="false" customHeight="true" outlineLevel="0" collapsed="false">
      <c r="A12" s="8" t="s">
        <v>103</v>
      </c>
      <c r="B12" s="8" t="s">
        <v>52</v>
      </c>
      <c r="C12" s="8" t="s">
        <v>92</v>
      </c>
      <c r="D12" s="8" t="s">
        <v>104</v>
      </c>
      <c r="E12" s="8" t="s">
        <v>94</v>
      </c>
      <c r="F12" s="8" t="s">
        <v>105</v>
      </c>
      <c r="G12" s="8"/>
      <c r="H12" s="8" t="s">
        <v>106</v>
      </c>
      <c r="I12" s="8" t="s">
        <v>107</v>
      </c>
      <c r="J12" s="8"/>
      <c r="K12" s="8" t="s">
        <v>100</v>
      </c>
    </row>
    <row r="13" customFormat="false" ht="15" hidden="false" customHeight="false" outlineLevel="0" collapsed="false">
      <c r="A13" s="27" t="n">
        <v>1</v>
      </c>
      <c r="B13" s="10" t="str">
        <f aca="false">INDEX($B$5:$B$7,MATCH($A13,$G$5:$G$7,0))</f>
        <v>Database Injection</v>
      </c>
      <c r="C13" s="24" t="n">
        <f aca="false">INDEX($C$5:$C$7,MATCH($A13,$G$5:$G$7,0))</f>
        <v>125000000</v>
      </c>
      <c r="D13" s="32" t="n">
        <f aca="false">INDEX($D$5:$D$7,MATCH($A13,$G$5:$G$7,0))</f>
        <v>0.25</v>
      </c>
      <c r="E13" s="24" t="n">
        <f aca="false">INDEX($E$5:$E$7,MATCH($A13,$G$5:$G$7,0))</f>
        <v>31250000</v>
      </c>
      <c r="F13" s="26" t="n">
        <f aca="false">INDEX($F$5:$F$7,MATCH($A13,$G$5:$G$7,0))</f>
        <v>0.892857142857143</v>
      </c>
      <c r="G13" s="12"/>
      <c r="H13" s="28" t="str">
        <f aca="false">INDEX($H$5:$H$7,MATCH($A13,$G$5:$G$7,0))</f>
        <v>Medium</v>
      </c>
      <c r="I13" s="28" t="str">
        <f aca="false">INDEX($I$5:$I$7,MATCH($A13,$G$5:$G$7,0))</f>
        <v>High</v>
      </c>
      <c r="J13" s="12"/>
      <c r="K13" s="29" t="str">
        <f aca="false">INDEX($K$5:$K$7,MATCH($A13,$G$5:$G$7,0))</f>
        <v>High</v>
      </c>
    </row>
    <row r="14" customFormat="false" ht="15" hidden="false" customHeight="false" outlineLevel="0" collapsed="false">
      <c r="A14" s="27" t="n">
        <v>2</v>
      </c>
      <c r="B14" s="10" t="str">
        <f aca="false">INDEX($B$5:$B$7,MATCH($A14,$G$5:$G$7,0))</f>
        <v>Session Hijacking</v>
      </c>
      <c r="C14" s="24" t="n">
        <f aca="false">INDEX($C$5:$C$7,MATCH($A14,$G$5:$G$7,0))</f>
        <v>7500000</v>
      </c>
      <c r="D14" s="32" t="n">
        <f aca="false">INDEX($D$5:$D$7,MATCH($A14,$G$5:$G$7,0))</f>
        <v>0.4</v>
      </c>
      <c r="E14" s="24" t="n">
        <f aca="false">INDEX($E$5:$E$7,MATCH($A14,$G$5:$G$7,0))</f>
        <v>3000000</v>
      </c>
      <c r="F14" s="26" t="n">
        <f aca="false">INDEX($F$5:$F$7,MATCH($A14,$G$5:$G$7,0))</f>
        <v>0.0857142857142857</v>
      </c>
      <c r="G14" s="12"/>
      <c r="H14" s="28" t="str">
        <f aca="false">INDEX($H$5:$H$7,MATCH($A14,$G$5:$G$7,0))</f>
        <v>High</v>
      </c>
      <c r="I14" s="28" t="str">
        <f aca="false">INDEX($I$5:$I$7,MATCH($A14,$G$5:$G$7,0))</f>
        <v>Medium</v>
      </c>
      <c r="J14" s="12"/>
      <c r="K14" s="29" t="str">
        <f aca="false">INDEX($K$5:$K$7,MATCH($A14,$G$5:$G$7,0))</f>
        <v>High</v>
      </c>
    </row>
    <row r="15" customFormat="false" ht="15" hidden="false" customHeight="false" outlineLevel="0" collapsed="false">
      <c r="A15" s="27" t="n">
        <v>3</v>
      </c>
      <c r="B15" s="10" t="str">
        <f aca="false">INDEX($B$5:$B$7,MATCH($A15,$G$5:$G$7,0))</f>
        <v>API Authentication Bypass</v>
      </c>
      <c r="C15" s="24" t="n">
        <f aca="false">INDEX($C$5:$C$7,MATCH($A15,$G$5:$G$7,0))</f>
        <v>5000000</v>
      </c>
      <c r="D15" s="32" t="n">
        <f aca="false">INDEX($D$5:$D$7,MATCH($A15,$G$5:$G$7,0))</f>
        <v>0.15</v>
      </c>
      <c r="E15" s="24" t="n">
        <f aca="false">INDEX($E$5:$E$7,MATCH($A15,$G$5:$G$7,0))</f>
        <v>750000</v>
      </c>
      <c r="F15" s="26" t="n">
        <f aca="false">INDEX($F$5:$F$7,MATCH($A15,$G$5:$G$7,0))</f>
        <v>0.0214285714285714</v>
      </c>
      <c r="G15" s="12"/>
      <c r="H15" s="28" t="str">
        <f aca="false">INDEX($H$5:$H$7,MATCH($A15,$G$5:$G$7,0))</f>
        <v>Medium</v>
      </c>
      <c r="I15" s="28" t="str">
        <f aca="false">INDEX($I$5:$I$7,MATCH($A15,$G$5:$G$7,0))</f>
        <v>Medium</v>
      </c>
      <c r="J15" s="12"/>
      <c r="K15" s="29" t="str">
        <f aca="false">INDEX($K$5:$K$7,MATCH($A15,$G$5:$G$7,0))</f>
        <v>Medium</v>
      </c>
    </row>
    <row r="17" customFormat="false" ht="15" hidden="false" customHeight="false" outlineLevel="0" collapsed="false">
      <c r="A17" s="4" t="s">
        <v>108</v>
      </c>
    </row>
  </sheetData>
  <conditionalFormatting sqref="K5:K7">
    <cfRule type="cellIs" priority="2" operator="equal" aboveAverage="0" equalAverage="0" bottom="0" percent="0" rank="0" text="" dxfId="0">
      <formula>"High"</formula>
    </cfRule>
    <cfRule type="cellIs" priority="3" operator="equal" aboveAverage="0" equalAverage="0" bottom="0" percent="0" rank="0" text="" dxfId="1">
      <formula>"Medium"</formula>
    </cfRule>
    <cfRule type="cellIs" priority="4" operator="equal" aboveAverage="0" equalAverage="0" bottom="0" percent="0" rank="0" text="" dxfId="2">
      <formula>"Low"</formula>
    </cfRule>
  </conditionalFormatting>
  <conditionalFormatting sqref="K13:K15">
    <cfRule type="cellIs" priority="5" operator="equal" aboveAverage="0" equalAverage="0" bottom="0" percent="0" rank="0" text="" dxfId="0">
      <formula>"High"</formula>
    </cfRule>
    <cfRule type="cellIs" priority="6" operator="equal" aboveAverage="0" equalAverage="0" bottom="0" percent="0" rank="0" text="" dxfId="1">
      <formula>"Medium"</formula>
    </cfRule>
    <cfRule type="cellIs" priority="7" operator="equal" aboveAverage="0" equalAverage="0" bottom="0" percent="0" rank="0" text="" dxfId="2">
      <formula>"Low"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4" min="2" style="0" width="20"/>
    <col collapsed="false" customWidth="true" hidden="false" outlineLevel="0" max="5" min="5" style="0" width="4"/>
    <col collapsed="false" customWidth="true" hidden="false" outlineLevel="0" max="6" min="6" style="0" width="44"/>
    <col collapsed="false" customWidth="true" hidden="false" outlineLevel="0" max="8" min="7" style="0" width="16"/>
  </cols>
  <sheetData>
    <row r="1" customFormat="false" ht="17.35" hidden="false" customHeight="false" outlineLevel="0" collapsed="false">
      <c r="A1" s="1" t="s">
        <v>109</v>
      </c>
    </row>
    <row r="3" customFormat="false" ht="15" hidden="false" customHeight="false" outlineLevel="0" collapsed="false">
      <c r="B3" s="33" t="s">
        <v>110</v>
      </c>
      <c r="C3" s="33"/>
      <c r="D3" s="33"/>
      <c r="F3" s="2" t="s">
        <v>111</v>
      </c>
    </row>
    <row r="4" customFormat="false" ht="42" hidden="false" customHeight="true" outlineLevel="0" collapsed="false">
      <c r="A4" s="8" t="s">
        <v>112</v>
      </c>
      <c r="B4" s="8" t="s">
        <v>113</v>
      </c>
      <c r="C4" s="8" t="s">
        <v>114</v>
      </c>
      <c r="D4" s="8" t="s">
        <v>115</v>
      </c>
      <c r="F4" s="8" t="s">
        <v>116</v>
      </c>
      <c r="G4" s="8" t="s">
        <v>106</v>
      </c>
      <c r="H4" s="8" t="s">
        <v>107</v>
      </c>
    </row>
    <row r="5" customFormat="false" ht="55.5" hidden="false" customHeight="true" outlineLevel="0" collapsed="false">
      <c r="A5" s="34" t="s">
        <v>115</v>
      </c>
      <c r="B5" s="35" t="str">
        <f aca="false">TRIM(IF(AND(Phase1_ALE!$H$5=$A5,Phase1_ALE!$I$5=B$4),Phase1_ALE!$A$5&amp;" ","")&amp;IF(AND(Phase1_ALE!$H$6=$A5,Phase1_ALE!$I$6=B$4),Phase1_ALE!$A$6&amp;" ","")&amp;IF(AND(Phase1_ALE!$H$7=$A5,Phase1_ALE!$I$7=B$4),Phase1_ALE!$A$7&amp;" ",""))</f>
        <v/>
      </c>
      <c r="C5" s="36" t="str">
        <f aca="false">TRIM(IF(AND(Phase1_ALE!$H$5=$A5,Phase1_ALE!$I$5=C$4),Phase1_ALE!$A$5&amp;" ","")&amp;IF(AND(Phase1_ALE!$H$6=$A5,Phase1_ALE!$I$6=C$4),Phase1_ALE!$A$6&amp;" ","")&amp;IF(AND(Phase1_ALE!$H$7=$A5,Phase1_ALE!$I$7=C$4),Phase1_ALE!$A$7&amp;" ",""))</f>
        <v>F3</v>
      </c>
      <c r="D5" s="36" t="str">
        <f aca="false">TRIM(IF(AND(Phase1_ALE!$H$5=$A5,Phase1_ALE!$I$5=D$4),Phase1_ALE!$A$5&amp;" ","")&amp;IF(AND(Phase1_ALE!$H$6=$A5,Phase1_ALE!$I$6=D$4),Phase1_ALE!$A$6&amp;" ","")&amp;IF(AND(Phase1_ALE!$H$7=$A5,Phase1_ALE!$I$7=D$4),Phase1_ALE!$A$7&amp;" ",""))</f>
        <v/>
      </c>
      <c r="F5" s="23" t="str">
        <f aca="false">Phase1_ALE!A5&amp;" - "&amp;Phase1_ALE!B5</f>
        <v>F1 - API Authentication Bypass</v>
      </c>
      <c r="G5" s="37" t="str">
        <f aca="false">Phase1_ALE!H5&amp;" ("&amp;TEXT(Phase1_ALE!D5,"0%")&amp;")"</f>
        <v>Medium (15%)</v>
      </c>
      <c r="H5" s="37" t="str">
        <f aca="false">Phase1_ALE!I5</f>
        <v>Medium</v>
      </c>
    </row>
    <row r="6" customFormat="false" ht="55.5" hidden="false" customHeight="true" outlineLevel="0" collapsed="false">
      <c r="A6" s="34" t="s">
        <v>114</v>
      </c>
      <c r="B6" s="38" t="str">
        <f aca="false">TRIM(IF(AND(Phase1_ALE!$H$5=$A6,Phase1_ALE!$I$5=B$4),Phase1_ALE!$A$5&amp;" ","")&amp;IF(AND(Phase1_ALE!$H$6=$A6,Phase1_ALE!$I$6=B$4),Phase1_ALE!$A$6&amp;" ","")&amp;IF(AND(Phase1_ALE!$H$7=$A6,Phase1_ALE!$I$7=B$4),Phase1_ALE!$A$7&amp;" ",""))</f>
        <v/>
      </c>
      <c r="C6" s="35" t="str">
        <f aca="false">TRIM(IF(AND(Phase1_ALE!$H$5=$A6,Phase1_ALE!$I$5=C$4),Phase1_ALE!$A$5&amp;" ","")&amp;IF(AND(Phase1_ALE!$H$6=$A6,Phase1_ALE!$I$6=C$4),Phase1_ALE!$A$6&amp;" ","")&amp;IF(AND(Phase1_ALE!$H$7=$A6,Phase1_ALE!$I$7=C$4),Phase1_ALE!$A$7&amp;" ",""))</f>
        <v>F1</v>
      </c>
      <c r="D6" s="36" t="str">
        <f aca="false">TRIM(IF(AND(Phase1_ALE!$H$5=$A6,Phase1_ALE!$I$5=D$4),Phase1_ALE!$A$5&amp;" ","")&amp;IF(AND(Phase1_ALE!$H$6=$A6,Phase1_ALE!$I$6=D$4),Phase1_ALE!$A$6&amp;" ","")&amp;IF(AND(Phase1_ALE!$H$7=$A6,Phase1_ALE!$I$7=D$4),Phase1_ALE!$A$7&amp;" ",""))</f>
        <v>F2</v>
      </c>
      <c r="F6" s="23" t="str">
        <f aca="false">Phase1_ALE!A6&amp;" - "&amp;Phase1_ALE!B6</f>
        <v>F2 - Database Injection</v>
      </c>
      <c r="G6" s="37" t="str">
        <f aca="false">Phase1_ALE!H6&amp;" ("&amp;TEXT(Phase1_ALE!D6,"0%")&amp;")"</f>
        <v>Medium (25%)</v>
      </c>
      <c r="H6" s="37" t="str">
        <f aca="false">Phase1_ALE!I6</f>
        <v>High</v>
      </c>
    </row>
    <row r="7" customFormat="false" ht="55.5" hidden="false" customHeight="true" outlineLevel="0" collapsed="false">
      <c r="A7" s="34" t="s">
        <v>113</v>
      </c>
      <c r="B7" s="38" t="str">
        <f aca="false">TRIM(IF(AND(Phase1_ALE!$H$5=$A7,Phase1_ALE!$I$5=B$4),Phase1_ALE!$A$5&amp;" ","")&amp;IF(AND(Phase1_ALE!$H$6=$A7,Phase1_ALE!$I$6=B$4),Phase1_ALE!$A$6&amp;" ","")&amp;IF(AND(Phase1_ALE!$H$7=$A7,Phase1_ALE!$I$7=B$4),Phase1_ALE!$A$7&amp;" ",""))</f>
        <v/>
      </c>
      <c r="C7" s="38" t="str">
        <f aca="false">TRIM(IF(AND(Phase1_ALE!$H$5=$A7,Phase1_ALE!$I$5=C$4),Phase1_ALE!$A$5&amp;" ","")&amp;IF(AND(Phase1_ALE!$H$6=$A7,Phase1_ALE!$I$6=C$4),Phase1_ALE!$A$6&amp;" ","")&amp;IF(AND(Phase1_ALE!$H$7=$A7,Phase1_ALE!$I$7=C$4),Phase1_ALE!$A$7&amp;" ",""))</f>
        <v/>
      </c>
      <c r="D7" s="35" t="str">
        <f aca="false">TRIM(IF(AND(Phase1_ALE!$H$5=$A7,Phase1_ALE!$I$5=D$4),Phase1_ALE!$A$5&amp;" ","")&amp;IF(AND(Phase1_ALE!$H$6=$A7,Phase1_ALE!$I$6=D$4),Phase1_ALE!$A$6&amp;" ","")&amp;IF(AND(Phase1_ALE!$H$7=$A7,Phase1_ALE!$I$7=D$4),Phase1_ALE!$A$7&amp;" ",""))</f>
        <v/>
      </c>
      <c r="F7" s="23" t="str">
        <f aca="false">Phase1_ALE!A7&amp;" - "&amp;Phase1_ALE!B7</f>
        <v>F3 - Session Hijacking</v>
      </c>
      <c r="G7" s="37" t="str">
        <f aca="false">Phase1_ALE!H7&amp;" ("&amp;TEXT(Phase1_ALE!D7,"0%")&amp;")"</f>
        <v>High (40%)</v>
      </c>
      <c r="H7" s="37" t="str">
        <f aca="false">Phase1_ALE!I7</f>
        <v>Medium</v>
      </c>
    </row>
    <row r="9" customFormat="false" ht="30" hidden="false" customHeight="true" outlineLevel="0" collapsed="false">
      <c r="A9" s="39" t="s">
        <v>117</v>
      </c>
      <c r="B9" s="39"/>
      <c r="C9" s="39"/>
      <c r="D9" s="39"/>
      <c r="F9" s="4" t="s">
        <v>118</v>
      </c>
    </row>
  </sheetData>
  <mergeCells count="2">
    <mergeCell ref="B3:D3"/>
    <mergeCell ref="A9:D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2"/>
    <col collapsed="false" customWidth="true" hidden="false" outlineLevel="0" max="4" min="3" style="0" width="16"/>
    <col collapsed="false" customWidth="true" hidden="false" outlineLevel="0" max="5" min="5" style="0" width="13"/>
    <col collapsed="false" customWidth="true" hidden="false" outlineLevel="0" max="8" min="6" style="0" width="18"/>
    <col collapsed="false" customWidth="true" hidden="false" outlineLevel="0" max="9" min="9" style="0" width="16"/>
    <col collapsed="false" customWidth="true" hidden="false" outlineLevel="0" max="11" min="10" style="0" width="17"/>
    <col collapsed="false" customWidth="true" hidden="false" outlineLevel="0" max="12" min="12" style="0" width="18"/>
    <col collapsed="false" customWidth="true" hidden="false" outlineLevel="0" max="15" min="13" style="0" width="12"/>
    <col collapsed="false" customWidth="true" hidden="false" outlineLevel="0" max="16" min="16" style="0" width="10"/>
  </cols>
  <sheetData>
    <row r="1" customFormat="false" ht="17.35" hidden="false" customHeight="false" outlineLevel="0" collapsed="false">
      <c r="A1" s="1" t="s">
        <v>119</v>
      </c>
    </row>
    <row r="2" customFormat="false" ht="15" hidden="false" customHeight="false" outlineLevel="0" collapsed="false">
      <c r="A2" s="4" t="s">
        <v>120</v>
      </c>
    </row>
    <row r="4" customFormat="false" ht="42" hidden="false" customHeight="true" outlineLevel="0" collapsed="false">
      <c r="A4" s="8" t="s">
        <v>67</v>
      </c>
      <c r="B4" s="8" t="s">
        <v>121</v>
      </c>
      <c r="C4" s="8" t="s">
        <v>68</v>
      </c>
      <c r="D4" s="8" t="s">
        <v>69</v>
      </c>
      <c r="E4" s="8" t="s">
        <v>70</v>
      </c>
      <c r="F4" s="8" t="s">
        <v>122</v>
      </c>
      <c r="G4" s="8" t="s">
        <v>123</v>
      </c>
      <c r="H4" s="8" t="s">
        <v>124</v>
      </c>
      <c r="I4" s="8" t="s">
        <v>125</v>
      </c>
      <c r="J4" s="8" t="s">
        <v>126</v>
      </c>
      <c r="K4" s="8" t="s">
        <v>127</v>
      </c>
      <c r="L4" s="8" t="s">
        <v>128</v>
      </c>
      <c r="M4" s="8" t="s">
        <v>129</v>
      </c>
      <c r="N4" s="8" t="s">
        <v>130</v>
      </c>
      <c r="O4" s="8" t="s">
        <v>131</v>
      </c>
      <c r="P4" s="8" t="s">
        <v>132</v>
      </c>
    </row>
    <row r="5" customFormat="false" ht="15" hidden="false" customHeight="false" outlineLevel="0" collapsed="false">
      <c r="A5" s="23" t="str">
        <f aca="false">Inputs!B10</f>
        <v>Advanced API Security Gateway</v>
      </c>
      <c r="B5" s="37" t="str">
        <f aca="false">Inputs!F10</f>
        <v>F1</v>
      </c>
      <c r="C5" s="40" t="n">
        <f aca="false">Inputs!C10</f>
        <v>350000</v>
      </c>
      <c r="D5" s="40" t="n">
        <f aca="false">Inputs!D10</f>
        <v>50000</v>
      </c>
      <c r="E5" s="41" t="n">
        <f aca="false">Inputs!E10</f>
        <v>0.9</v>
      </c>
      <c r="F5" s="40" t="n">
        <f aca="false">INDEX(Phase1_ALE!$E$5:$E$7,MATCH(B5,Phase1_ALE!$A$5:$A$7,0))</f>
        <v>750000</v>
      </c>
      <c r="G5" s="24" t="n">
        <f aca="false">F5*E5</f>
        <v>675000</v>
      </c>
      <c r="H5" s="24" t="n">
        <f aca="false">F5-G5</f>
        <v>75000</v>
      </c>
      <c r="I5" s="24" t="n">
        <f aca="false">C5+D5</f>
        <v>400000</v>
      </c>
      <c r="J5" s="42" t="n">
        <f aca="false">(G5-C5)/C5</f>
        <v>0.928571428571429</v>
      </c>
      <c r="K5" s="42" t="n">
        <f aca="false">(G5-I5)/I5</f>
        <v>0.6875</v>
      </c>
      <c r="L5" s="24" t="n">
        <f aca="false">G5-D5</f>
        <v>625000</v>
      </c>
      <c r="M5" s="43" t="n">
        <f aca="false">IF(L5&gt;0,C5/L5,"n/a")</f>
        <v>0.56</v>
      </c>
      <c r="N5" s="32" t="n">
        <f aca="false">IF(L5&gt;0,M5*12,"n/a")</f>
        <v>6.72</v>
      </c>
      <c r="O5" s="44" t="n">
        <f aca="false">IF(L5&gt;0,M5*365,"n/a")</f>
        <v>204.4</v>
      </c>
      <c r="P5" s="27" t="n">
        <f aca="false">RANK(K5,$K$5:$K$7,0)</f>
        <v>3</v>
      </c>
    </row>
    <row r="6" customFormat="false" ht="15" hidden="false" customHeight="false" outlineLevel="0" collapsed="false">
      <c r="A6" s="23" t="str">
        <f aca="false">Inputs!B11</f>
        <v>Web Application Firewall (WAF)</v>
      </c>
      <c r="B6" s="37" t="str">
        <f aca="false">Inputs!F11</f>
        <v>F2</v>
      </c>
      <c r="C6" s="40" t="n">
        <f aca="false">Inputs!C11</f>
        <v>150000</v>
      </c>
      <c r="D6" s="40" t="n">
        <f aca="false">Inputs!D11</f>
        <v>25000</v>
      </c>
      <c r="E6" s="41" t="n">
        <f aca="false">Inputs!E11</f>
        <v>0.75</v>
      </c>
      <c r="F6" s="40" t="n">
        <f aca="false">INDEX(Phase1_ALE!$E$5:$E$7,MATCH(B6,Phase1_ALE!$A$5:$A$7,0))</f>
        <v>31250000</v>
      </c>
      <c r="G6" s="24" t="n">
        <f aca="false">F6*E6</f>
        <v>23437500</v>
      </c>
      <c r="H6" s="24" t="n">
        <f aca="false">F6-G6</f>
        <v>7812500</v>
      </c>
      <c r="I6" s="24" t="n">
        <f aca="false">C6+D6</f>
        <v>175000</v>
      </c>
      <c r="J6" s="42" t="n">
        <f aca="false">(G6-C6)/C6</f>
        <v>155.25</v>
      </c>
      <c r="K6" s="42" t="n">
        <f aca="false">(G6-I6)/I6</f>
        <v>132.928571428571</v>
      </c>
      <c r="L6" s="24" t="n">
        <f aca="false">G6-D6</f>
        <v>23412500</v>
      </c>
      <c r="M6" s="43" t="n">
        <f aca="false">IF(L6&gt;0,C6/L6,"n/a")</f>
        <v>0.00640683395621997</v>
      </c>
      <c r="N6" s="32" t="n">
        <f aca="false">IF(L6&gt;0,M6*12,"n/a")</f>
        <v>0.0768820074746396</v>
      </c>
      <c r="O6" s="44" t="n">
        <f aca="false">IF(L6&gt;0,M6*365,"n/a")</f>
        <v>2.33849439402029</v>
      </c>
      <c r="P6" s="27" t="n">
        <f aca="false">RANK(K6,$K$5:$K$7,0)</f>
        <v>1</v>
      </c>
    </row>
    <row r="7" customFormat="false" ht="15" hidden="false" customHeight="false" outlineLevel="0" collapsed="false">
      <c r="A7" s="23" t="str">
        <f aca="false">Inputs!B12</f>
        <v>Multi-Factor Authentication Enhancement</v>
      </c>
      <c r="B7" s="37" t="str">
        <f aca="false">Inputs!F12</f>
        <v>F3</v>
      </c>
      <c r="C7" s="40" t="n">
        <f aca="false">Inputs!C12</f>
        <v>200000</v>
      </c>
      <c r="D7" s="40" t="n">
        <f aca="false">Inputs!D12</f>
        <v>30000</v>
      </c>
      <c r="E7" s="41" t="n">
        <f aca="false">Inputs!E12</f>
        <v>0.95</v>
      </c>
      <c r="F7" s="40" t="n">
        <f aca="false">INDEX(Phase1_ALE!$E$5:$E$7,MATCH(B7,Phase1_ALE!$A$5:$A$7,0))</f>
        <v>3000000</v>
      </c>
      <c r="G7" s="24" t="n">
        <f aca="false">F7*E7</f>
        <v>2850000</v>
      </c>
      <c r="H7" s="24" t="n">
        <f aca="false">F7-G7</f>
        <v>150000</v>
      </c>
      <c r="I7" s="24" t="n">
        <f aca="false">C7+D7</f>
        <v>230000</v>
      </c>
      <c r="J7" s="42" t="n">
        <f aca="false">(G7-C7)/C7</f>
        <v>13.25</v>
      </c>
      <c r="K7" s="42" t="n">
        <f aca="false">(G7-I7)/I7</f>
        <v>11.3913043478261</v>
      </c>
      <c r="L7" s="24" t="n">
        <f aca="false">G7-D7</f>
        <v>2820000</v>
      </c>
      <c r="M7" s="43" t="n">
        <f aca="false">IF(L7&gt;0,C7/L7,"n/a")</f>
        <v>0.0709219858156028</v>
      </c>
      <c r="N7" s="32" t="n">
        <f aca="false">IF(L7&gt;0,M7*12,"n/a")</f>
        <v>0.851063829787234</v>
      </c>
      <c r="O7" s="44" t="n">
        <f aca="false">IF(L7&gt;0,M7*365,"n/a")</f>
        <v>25.886524822695</v>
      </c>
      <c r="P7" s="27" t="n">
        <f aca="false">RANK(K7,$K$5:$K$7,0)</f>
        <v>2</v>
      </c>
    </row>
    <row r="8" customFormat="false" ht="15" hidden="false" customHeight="false" outlineLevel="0" collapsed="false">
      <c r="A8" s="9" t="s">
        <v>133</v>
      </c>
      <c r="B8" s="12"/>
      <c r="C8" s="30" t="n">
        <f aca="false">SUM(C5:C7)</f>
        <v>700000</v>
      </c>
      <c r="D8" s="30" t="n">
        <f aca="false">SUM(D5:D7)</f>
        <v>105000</v>
      </c>
      <c r="E8" s="45" t="n">
        <f aca="false">G8/F8</f>
        <v>0.770357142857143</v>
      </c>
      <c r="F8" s="30" t="n">
        <f aca="false">SUM(F5:F7)</f>
        <v>35000000</v>
      </c>
      <c r="G8" s="30" t="n">
        <f aca="false">SUM(G5:G7)</f>
        <v>26962500</v>
      </c>
      <c r="H8" s="30" t="n">
        <f aca="false">SUM(H5:H7)</f>
        <v>8037500</v>
      </c>
      <c r="I8" s="30" t="n">
        <f aca="false">SUM(I5:I7)</f>
        <v>805000</v>
      </c>
      <c r="J8" s="45" t="n">
        <f aca="false">(G8-C8)/C8</f>
        <v>37.5178571428571</v>
      </c>
      <c r="K8" s="45" t="n">
        <f aca="false">(G8-I8)/I8</f>
        <v>32.4937888198758</v>
      </c>
      <c r="L8" s="30" t="n">
        <f aca="false">SUM(L5:L7)</f>
        <v>26857500</v>
      </c>
      <c r="M8" s="46" t="n">
        <f aca="false">IF(L8&gt;0,C8/L8,"n/a")</f>
        <v>0.0260634831983617</v>
      </c>
      <c r="N8" s="47" t="n">
        <f aca="false">M8*12</f>
        <v>0.312761798380341</v>
      </c>
      <c r="O8" s="48" t="n">
        <f aca="false">M8*365</f>
        <v>9.51317136740203</v>
      </c>
      <c r="P8" s="12"/>
    </row>
    <row r="10" customFormat="false" ht="15" hidden="false" customHeight="false" outlineLevel="0" collapsed="false">
      <c r="A10" s="4" t="s">
        <v>134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
    <col collapsed="false" customWidth="true" hidden="false" outlineLevel="0" max="3" min="3" style="0" width="24"/>
    <col collapsed="false" customWidth="true" hidden="false" outlineLevel="0" max="4" min="4" style="0" width="26"/>
    <col collapsed="false" customWidth="true" hidden="false" outlineLevel="0" max="5" min="5" style="0" width="22"/>
    <col collapsed="false" customWidth="true" hidden="false" outlineLevel="0" max="8" min="6" style="0" width="18"/>
  </cols>
  <sheetData>
    <row r="1" customFormat="false" ht="17.35" hidden="false" customHeight="false" outlineLevel="0" collapsed="false">
      <c r="A1" s="1" t="s">
        <v>135</v>
      </c>
    </row>
    <row r="2" customFormat="false" ht="15" hidden="false" customHeight="false" outlineLevel="0" collapsed="false">
      <c r="A2" s="4" t="s">
        <v>136</v>
      </c>
    </row>
    <row r="4" customFormat="false" ht="42" hidden="false" customHeight="true" outlineLevel="0" collapsed="false">
      <c r="A4" s="8" t="s">
        <v>137</v>
      </c>
      <c r="B4" s="8" t="s">
        <v>138</v>
      </c>
      <c r="C4" s="8" t="s">
        <v>139</v>
      </c>
      <c r="D4" s="8" t="s">
        <v>140</v>
      </c>
      <c r="E4" s="8" t="s">
        <v>141</v>
      </c>
      <c r="F4" s="8" t="s">
        <v>142</v>
      </c>
      <c r="G4" s="8" t="s">
        <v>143</v>
      </c>
      <c r="H4" s="8" t="s">
        <v>144</v>
      </c>
    </row>
    <row r="5" customFormat="false" ht="15" hidden="false" customHeight="false" outlineLevel="0" collapsed="false">
      <c r="A5" s="27" t="n">
        <v>0</v>
      </c>
      <c r="B5" s="32" t="n">
        <f aca="false">A5/4</f>
        <v>0</v>
      </c>
      <c r="C5" s="24" t="n">
        <f aca="false">Phase1_ALE!$E$8*B5</f>
        <v>0</v>
      </c>
      <c r="D5" s="24" t="n">
        <f aca="false">Phase2_Controls!$C$8+(Phase2_Controls!$H$8+Phase2_Controls!$D$8)*B5</f>
        <v>700000</v>
      </c>
      <c r="E5" s="24" t="n">
        <f aca="false">C5-D5</f>
        <v>-700000</v>
      </c>
      <c r="F5" s="24" t="n">
        <f aca="false">-Phase2_Controls!$C$5+Phase2_Controls!$L$5*B5</f>
        <v>-350000</v>
      </c>
      <c r="G5" s="24" t="n">
        <f aca="false">-Phase2_Controls!$C$6+Phase2_Controls!$L$6*B5</f>
        <v>-150000</v>
      </c>
      <c r="H5" s="24" t="n">
        <f aca="false">-Phase2_Controls!$C$7+Phase2_Controls!$L$7*B5</f>
        <v>-200000</v>
      </c>
    </row>
    <row r="6" customFormat="false" ht="15" hidden="false" customHeight="false" outlineLevel="0" collapsed="false">
      <c r="A6" s="27" t="n">
        <v>1</v>
      </c>
      <c r="B6" s="32" t="n">
        <f aca="false">A6/4</f>
        <v>0.25</v>
      </c>
      <c r="C6" s="24" t="n">
        <f aca="false">Phase1_ALE!$E$8*B6</f>
        <v>8750000</v>
      </c>
      <c r="D6" s="24" t="n">
        <f aca="false">Phase2_Controls!$C$8+(Phase2_Controls!$H$8+Phase2_Controls!$D$8)*B6</f>
        <v>2735625</v>
      </c>
      <c r="E6" s="24" t="n">
        <f aca="false">C6-D6</f>
        <v>6014375</v>
      </c>
      <c r="F6" s="24" t="n">
        <f aca="false">-Phase2_Controls!$C$5+Phase2_Controls!$L$5*B6</f>
        <v>-193750</v>
      </c>
      <c r="G6" s="24" t="n">
        <f aca="false">-Phase2_Controls!$C$6+Phase2_Controls!$L$6*B6</f>
        <v>5703125</v>
      </c>
      <c r="H6" s="24" t="n">
        <f aca="false">-Phase2_Controls!$C$7+Phase2_Controls!$L$7*B6</f>
        <v>505000</v>
      </c>
    </row>
    <row r="7" customFormat="false" ht="15" hidden="false" customHeight="false" outlineLevel="0" collapsed="false">
      <c r="A7" s="27" t="n">
        <v>2</v>
      </c>
      <c r="B7" s="32" t="n">
        <f aca="false">A7/4</f>
        <v>0.5</v>
      </c>
      <c r="C7" s="24" t="n">
        <f aca="false">Phase1_ALE!$E$8*B7</f>
        <v>17500000</v>
      </c>
      <c r="D7" s="24" t="n">
        <f aca="false">Phase2_Controls!$C$8+(Phase2_Controls!$H$8+Phase2_Controls!$D$8)*B7</f>
        <v>4771250</v>
      </c>
      <c r="E7" s="24" t="n">
        <f aca="false">C7-D7</f>
        <v>12728750</v>
      </c>
      <c r="F7" s="24" t="n">
        <f aca="false">-Phase2_Controls!$C$5+Phase2_Controls!$L$5*B7</f>
        <v>-37500</v>
      </c>
      <c r="G7" s="24" t="n">
        <f aca="false">-Phase2_Controls!$C$6+Phase2_Controls!$L$6*B7</f>
        <v>11556250</v>
      </c>
      <c r="H7" s="24" t="n">
        <f aca="false">-Phase2_Controls!$C$7+Phase2_Controls!$L$7*B7</f>
        <v>1210000</v>
      </c>
    </row>
    <row r="8" customFormat="false" ht="15" hidden="false" customHeight="false" outlineLevel="0" collapsed="false">
      <c r="A8" s="27" t="n">
        <v>3</v>
      </c>
      <c r="B8" s="32" t="n">
        <f aca="false">A8/4</f>
        <v>0.75</v>
      </c>
      <c r="C8" s="24" t="n">
        <f aca="false">Phase1_ALE!$E$8*B8</f>
        <v>26250000</v>
      </c>
      <c r="D8" s="24" t="n">
        <f aca="false">Phase2_Controls!$C$8+(Phase2_Controls!$H$8+Phase2_Controls!$D$8)*B8</f>
        <v>6806875</v>
      </c>
      <c r="E8" s="24" t="n">
        <f aca="false">C8-D8</f>
        <v>19443125</v>
      </c>
      <c r="F8" s="24" t="n">
        <f aca="false">-Phase2_Controls!$C$5+Phase2_Controls!$L$5*B8</f>
        <v>118750</v>
      </c>
      <c r="G8" s="24" t="n">
        <f aca="false">-Phase2_Controls!$C$6+Phase2_Controls!$L$6*B8</f>
        <v>17409375</v>
      </c>
      <c r="H8" s="24" t="n">
        <f aca="false">-Phase2_Controls!$C$7+Phase2_Controls!$L$7*B8</f>
        <v>1915000</v>
      </c>
    </row>
    <row r="9" customFormat="false" ht="15" hidden="false" customHeight="false" outlineLevel="0" collapsed="false">
      <c r="A9" s="27" t="n">
        <v>4</v>
      </c>
      <c r="B9" s="32" t="n">
        <f aca="false">A9/4</f>
        <v>1</v>
      </c>
      <c r="C9" s="24" t="n">
        <f aca="false">Phase1_ALE!$E$8*B9</f>
        <v>35000000</v>
      </c>
      <c r="D9" s="24" t="n">
        <f aca="false">Phase2_Controls!$C$8+(Phase2_Controls!$H$8+Phase2_Controls!$D$8)*B9</f>
        <v>8842500</v>
      </c>
      <c r="E9" s="24" t="n">
        <f aca="false">C9-D9</f>
        <v>26157500</v>
      </c>
      <c r="F9" s="24" t="n">
        <f aca="false">-Phase2_Controls!$C$5+Phase2_Controls!$L$5*B9</f>
        <v>275000</v>
      </c>
      <c r="G9" s="24" t="n">
        <f aca="false">-Phase2_Controls!$C$6+Phase2_Controls!$L$6*B9</f>
        <v>23262500</v>
      </c>
      <c r="H9" s="24" t="n">
        <f aca="false">-Phase2_Controls!$C$7+Phase2_Controls!$L$7*B9</f>
        <v>2620000</v>
      </c>
    </row>
    <row r="10" customFormat="false" ht="15" hidden="false" customHeight="false" outlineLevel="0" collapsed="false">
      <c r="A10" s="27" t="n">
        <v>5</v>
      </c>
      <c r="B10" s="32" t="n">
        <f aca="false">A10/4</f>
        <v>1.25</v>
      </c>
      <c r="C10" s="24" t="n">
        <f aca="false">Phase1_ALE!$E$8*B10</f>
        <v>43750000</v>
      </c>
      <c r="D10" s="24" t="n">
        <f aca="false">Phase2_Controls!$C$8+(Phase2_Controls!$H$8+Phase2_Controls!$D$8)*B10</f>
        <v>10878125</v>
      </c>
      <c r="E10" s="24" t="n">
        <f aca="false">C10-D10</f>
        <v>32871875</v>
      </c>
      <c r="F10" s="24" t="n">
        <f aca="false">-Phase2_Controls!$C$5+Phase2_Controls!$L$5*B10</f>
        <v>431250</v>
      </c>
      <c r="G10" s="24" t="n">
        <f aca="false">-Phase2_Controls!$C$6+Phase2_Controls!$L$6*B10</f>
        <v>29115625</v>
      </c>
      <c r="H10" s="24" t="n">
        <f aca="false">-Phase2_Controls!$C$7+Phase2_Controls!$L$7*B10</f>
        <v>3325000</v>
      </c>
    </row>
    <row r="11" customFormat="false" ht="15" hidden="false" customHeight="false" outlineLevel="0" collapsed="false">
      <c r="A11" s="27" t="n">
        <v>6</v>
      </c>
      <c r="B11" s="32" t="n">
        <f aca="false">A11/4</f>
        <v>1.5</v>
      </c>
      <c r="C11" s="24" t="n">
        <f aca="false">Phase1_ALE!$E$8*B11</f>
        <v>52500000</v>
      </c>
      <c r="D11" s="24" t="n">
        <f aca="false">Phase2_Controls!$C$8+(Phase2_Controls!$H$8+Phase2_Controls!$D$8)*B11</f>
        <v>12913750</v>
      </c>
      <c r="E11" s="24" t="n">
        <f aca="false">C11-D11</f>
        <v>39586250</v>
      </c>
      <c r="F11" s="24" t="n">
        <f aca="false">-Phase2_Controls!$C$5+Phase2_Controls!$L$5*B11</f>
        <v>587500</v>
      </c>
      <c r="G11" s="24" t="n">
        <f aca="false">-Phase2_Controls!$C$6+Phase2_Controls!$L$6*B11</f>
        <v>34968750</v>
      </c>
      <c r="H11" s="24" t="n">
        <f aca="false">-Phase2_Controls!$C$7+Phase2_Controls!$L$7*B11</f>
        <v>4030000</v>
      </c>
    </row>
    <row r="12" customFormat="false" ht="15" hidden="false" customHeight="false" outlineLevel="0" collapsed="false">
      <c r="A12" s="27" t="n">
        <v>7</v>
      </c>
      <c r="B12" s="32" t="n">
        <f aca="false">A12/4</f>
        <v>1.75</v>
      </c>
      <c r="C12" s="24" t="n">
        <f aca="false">Phase1_ALE!$E$8*B12</f>
        <v>61250000</v>
      </c>
      <c r="D12" s="24" t="n">
        <f aca="false">Phase2_Controls!$C$8+(Phase2_Controls!$H$8+Phase2_Controls!$D$8)*B12</f>
        <v>14949375</v>
      </c>
      <c r="E12" s="24" t="n">
        <f aca="false">C12-D12</f>
        <v>46300625</v>
      </c>
      <c r="F12" s="24" t="n">
        <f aca="false">-Phase2_Controls!$C$5+Phase2_Controls!$L$5*B12</f>
        <v>743750</v>
      </c>
      <c r="G12" s="24" t="n">
        <f aca="false">-Phase2_Controls!$C$6+Phase2_Controls!$L$6*B12</f>
        <v>40821875</v>
      </c>
      <c r="H12" s="24" t="n">
        <f aca="false">-Phase2_Controls!$C$7+Phase2_Controls!$L$7*B12</f>
        <v>4735000</v>
      </c>
    </row>
    <row r="13" customFormat="false" ht="15" hidden="false" customHeight="false" outlineLevel="0" collapsed="false">
      <c r="A13" s="27" t="n">
        <v>8</v>
      </c>
      <c r="B13" s="32" t="n">
        <f aca="false">A13/4</f>
        <v>2</v>
      </c>
      <c r="C13" s="24" t="n">
        <f aca="false">Phase1_ALE!$E$8*B13</f>
        <v>70000000</v>
      </c>
      <c r="D13" s="24" t="n">
        <f aca="false">Phase2_Controls!$C$8+(Phase2_Controls!$H$8+Phase2_Controls!$D$8)*B13</f>
        <v>16985000</v>
      </c>
      <c r="E13" s="24" t="n">
        <f aca="false">C13-D13</f>
        <v>53015000</v>
      </c>
      <c r="F13" s="24" t="n">
        <f aca="false">-Phase2_Controls!$C$5+Phase2_Controls!$L$5*B13</f>
        <v>900000</v>
      </c>
      <c r="G13" s="24" t="n">
        <f aca="false">-Phase2_Controls!$C$6+Phase2_Controls!$L$6*B13</f>
        <v>46675000</v>
      </c>
      <c r="H13" s="24" t="n">
        <f aca="false">-Phase2_Controls!$C$7+Phase2_Controls!$L$7*B13</f>
        <v>5440000</v>
      </c>
    </row>
    <row r="14" customFormat="false" ht="15" hidden="false" customHeight="false" outlineLevel="0" collapsed="false">
      <c r="A14" s="27" t="n">
        <v>9</v>
      </c>
      <c r="B14" s="32" t="n">
        <f aca="false">A14/4</f>
        <v>2.25</v>
      </c>
      <c r="C14" s="24" t="n">
        <f aca="false">Phase1_ALE!$E$8*B14</f>
        <v>78750000</v>
      </c>
      <c r="D14" s="24" t="n">
        <f aca="false">Phase2_Controls!$C$8+(Phase2_Controls!$H$8+Phase2_Controls!$D$8)*B14</f>
        <v>19020625</v>
      </c>
      <c r="E14" s="24" t="n">
        <f aca="false">C14-D14</f>
        <v>59729375</v>
      </c>
      <c r="F14" s="24" t="n">
        <f aca="false">-Phase2_Controls!$C$5+Phase2_Controls!$L$5*B14</f>
        <v>1056250</v>
      </c>
      <c r="G14" s="24" t="n">
        <f aca="false">-Phase2_Controls!$C$6+Phase2_Controls!$L$6*B14</f>
        <v>52528125</v>
      </c>
      <c r="H14" s="24" t="n">
        <f aca="false">-Phase2_Controls!$C$7+Phase2_Controls!$L$7*B14</f>
        <v>6145000</v>
      </c>
    </row>
    <row r="15" customFormat="false" ht="15" hidden="false" customHeight="false" outlineLevel="0" collapsed="false">
      <c r="A15" s="27" t="n">
        <v>10</v>
      </c>
      <c r="B15" s="32" t="n">
        <f aca="false">A15/4</f>
        <v>2.5</v>
      </c>
      <c r="C15" s="24" t="n">
        <f aca="false">Phase1_ALE!$E$8*B15</f>
        <v>87500000</v>
      </c>
      <c r="D15" s="24" t="n">
        <f aca="false">Phase2_Controls!$C$8+(Phase2_Controls!$H$8+Phase2_Controls!$D$8)*B15</f>
        <v>21056250</v>
      </c>
      <c r="E15" s="24" t="n">
        <f aca="false">C15-D15</f>
        <v>66443750</v>
      </c>
      <c r="F15" s="24" t="n">
        <f aca="false">-Phase2_Controls!$C$5+Phase2_Controls!$L$5*B15</f>
        <v>1212500</v>
      </c>
      <c r="G15" s="24" t="n">
        <f aca="false">-Phase2_Controls!$C$6+Phase2_Controls!$L$6*B15</f>
        <v>58381250</v>
      </c>
      <c r="H15" s="24" t="n">
        <f aca="false">-Phase2_Controls!$C$7+Phase2_Controls!$L$7*B15</f>
        <v>6850000</v>
      </c>
    </row>
    <row r="16" customFormat="false" ht="15" hidden="false" customHeight="false" outlineLevel="0" collapsed="false">
      <c r="A16" s="27" t="n">
        <v>11</v>
      </c>
      <c r="B16" s="32" t="n">
        <f aca="false">A16/4</f>
        <v>2.75</v>
      </c>
      <c r="C16" s="24" t="n">
        <f aca="false">Phase1_ALE!$E$8*B16</f>
        <v>96250000</v>
      </c>
      <c r="D16" s="24" t="n">
        <f aca="false">Phase2_Controls!$C$8+(Phase2_Controls!$H$8+Phase2_Controls!$D$8)*B16</f>
        <v>23091875</v>
      </c>
      <c r="E16" s="24" t="n">
        <f aca="false">C16-D16</f>
        <v>73158125</v>
      </c>
      <c r="F16" s="24" t="n">
        <f aca="false">-Phase2_Controls!$C$5+Phase2_Controls!$L$5*B16</f>
        <v>1368750</v>
      </c>
      <c r="G16" s="24" t="n">
        <f aca="false">-Phase2_Controls!$C$6+Phase2_Controls!$L$6*B16</f>
        <v>64234375</v>
      </c>
      <c r="H16" s="24" t="n">
        <f aca="false">-Phase2_Controls!$C$7+Phase2_Controls!$L$7*B16</f>
        <v>7555000</v>
      </c>
    </row>
    <row r="17" customFormat="false" ht="15" hidden="false" customHeight="false" outlineLevel="0" collapsed="false">
      <c r="A17" s="27" t="n">
        <v>12</v>
      </c>
      <c r="B17" s="32" t="n">
        <f aca="false">A17/4</f>
        <v>3</v>
      </c>
      <c r="C17" s="24" t="n">
        <f aca="false">Phase1_ALE!$E$8*B17</f>
        <v>105000000</v>
      </c>
      <c r="D17" s="24" t="n">
        <f aca="false">Phase2_Controls!$C$8+(Phase2_Controls!$H$8+Phase2_Controls!$D$8)*B17</f>
        <v>25127500</v>
      </c>
      <c r="E17" s="24" t="n">
        <f aca="false">C17-D17</f>
        <v>79872500</v>
      </c>
      <c r="F17" s="24" t="n">
        <f aca="false">-Phase2_Controls!$C$5+Phase2_Controls!$L$5*B17</f>
        <v>1525000</v>
      </c>
      <c r="G17" s="24" t="n">
        <f aca="false">-Phase2_Controls!$C$6+Phase2_Controls!$L$6*B17</f>
        <v>70087500</v>
      </c>
      <c r="H17" s="24" t="n">
        <f aca="false">-Phase2_Controls!$C$7+Phase2_Controls!$L$7*B17</f>
        <v>8260000</v>
      </c>
    </row>
    <row r="20" customFormat="false" ht="15" hidden="false" customHeight="false" outlineLevel="0" collapsed="false">
      <c r="A20" s="2" t="s">
        <v>145</v>
      </c>
    </row>
    <row r="21" customFormat="false" ht="42" hidden="false" customHeight="true" outlineLevel="0" collapsed="false">
      <c r="A21" s="8" t="s">
        <v>146</v>
      </c>
      <c r="B21" s="8" t="s">
        <v>147</v>
      </c>
      <c r="C21" s="8" t="s">
        <v>148</v>
      </c>
      <c r="D21" s="8" t="s">
        <v>124</v>
      </c>
      <c r="E21" s="8" t="s">
        <v>149</v>
      </c>
      <c r="F21" s="8" t="s">
        <v>150</v>
      </c>
      <c r="G21" s="8" t="s">
        <v>151</v>
      </c>
    </row>
    <row r="22" customFormat="false" ht="15" hidden="false" customHeight="false" outlineLevel="0" collapsed="false">
      <c r="A22" s="9" t="s">
        <v>152</v>
      </c>
      <c r="B22" s="49" t="n">
        <v>0</v>
      </c>
      <c r="C22" s="40" t="n">
        <f aca="false">Phase1_ALE!$E$8</f>
        <v>35000000</v>
      </c>
      <c r="D22" s="24" t="n">
        <f aca="false">IF(B22=0,C22,Phase2_Controls!$H$8)</f>
        <v>35000000</v>
      </c>
      <c r="E22" s="24" t="n">
        <f aca="false">Phase2_Controls!$C$8+Phase2_Controls!$D$8*B22</f>
        <v>700000</v>
      </c>
      <c r="F22" s="24" t="n">
        <f aca="false">Phase2_Controls!$G$8*B22</f>
        <v>0</v>
      </c>
      <c r="G22" s="30" t="n">
        <f aca="false">F22-E22</f>
        <v>-700000</v>
      </c>
    </row>
    <row r="23" customFormat="false" ht="15" hidden="false" customHeight="false" outlineLevel="0" collapsed="false">
      <c r="A23" s="9" t="s">
        <v>153</v>
      </c>
      <c r="B23" s="49" t="n">
        <v>1</v>
      </c>
      <c r="C23" s="40" t="n">
        <f aca="false">Phase1_ALE!$E$8</f>
        <v>35000000</v>
      </c>
      <c r="D23" s="24" t="n">
        <f aca="false">IF(B23=0,C23,Phase2_Controls!$H$8)</f>
        <v>8037500</v>
      </c>
      <c r="E23" s="24" t="n">
        <f aca="false">Phase2_Controls!$C$8+Phase2_Controls!$D$8*B23</f>
        <v>805000</v>
      </c>
      <c r="F23" s="24" t="n">
        <f aca="false">Phase2_Controls!$G$8*B23</f>
        <v>26962500</v>
      </c>
      <c r="G23" s="30" t="n">
        <f aca="false">F23-E23</f>
        <v>26157500</v>
      </c>
    </row>
    <row r="24" customFormat="false" ht="15" hidden="false" customHeight="false" outlineLevel="0" collapsed="false">
      <c r="A24" s="9" t="s">
        <v>154</v>
      </c>
      <c r="B24" s="49" t="n">
        <v>2</v>
      </c>
      <c r="C24" s="40" t="n">
        <f aca="false">Phase1_ALE!$E$8</f>
        <v>35000000</v>
      </c>
      <c r="D24" s="24" t="n">
        <f aca="false">IF(B24=0,C24,Phase2_Controls!$H$8)</f>
        <v>8037500</v>
      </c>
      <c r="E24" s="24" t="n">
        <f aca="false">Phase2_Controls!$C$8+Phase2_Controls!$D$8*B24</f>
        <v>910000</v>
      </c>
      <c r="F24" s="24" t="n">
        <f aca="false">Phase2_Controls!$G$8*B24</f>
        <v>53925000</v>
      </c>
      <c r="G24" s="30" t="n">
        <f aca="false">F24-E24</f>
        <v>53015000</v>
      </c>
    </row>
    <row r="25" customFormat="false" ht="15" hidden="false" customHeight="false" outlineLevel="0" collapsed="false">
      <c r="A25" s="9" t="s">
        <v>155</v>
      </c>
      <c r="B25" s="49" t="n">
        <v>3</v>
      </c>
      <c r="C25" s="40" t="n">
        <f aca="false">Phase1_ALE!$E$8</f>
        <v>35000000</v>
      </c>
      <c r="D25" s="24" t="n">
        <f aca="false">IF(B25=0,C25,Phase2_Controls!$H$8)</f>
        <v>8037500</v>
      </c>
      <c r="E25" s="24" t="n">
        <f aca="false">Phase2_Controls!$C$8+Phase2_Controls!$D$8*B25</f>
        <v>1015000</v>
      </c>
      <c r="F25" s="24" t="n">
        <f aca="false">Phase2_Controls!$G$8*B25</f>
        <v>80887500</v>
      </c>
      <c r="G25" s="30" t="n">
        <f aca="false">F25-E25</f>
        <v>79872500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38"/>
    <col collapsed="false" customWidth="true" hidden="false" outlineLevel="0" max="3" min="3" style="0" width="24"/>
    <col collapsed="false" customWidth="true" hidden="false" outlineLevel="0" max="8" min="4" style="0" width="20"/>
    <col collapsed="false" customWidth="true" hidden="false" outlineLevel="0" max="9" min="9" style="0" width="16"/>
  </cols>
  <sheetData>
    <row r="1" customFormat="false" ht="17.35" hidden="false" customHeight="false" outlineLevel="0" collapsed="false">
      <c r="A1" s="1" t="s">
        <v>156</v>
      </c>
    </row>
    <row r="3" customFormat="false" ht="15" hidden="false" customHeight="false" outlineLevel="0" collapsed="false">
      <c r="A3" s="2" t="s">
        <v>157</v>
      </c>
    </row>
    <row r="4" customFormat="false" ht="42" hidden="false" customHeight="true" outlineLevel="0" collapsed="false">
      <c r="A4" s="8" t="s">
        <v>158</v>
      </c>
      <c r="B4" s="8" t="s">
        <v>159</v>
      </c>
      <c r="C4" s="8" t="s">
        <v>160</v>
      </c>
      <c r="D4" s="8" t="s">
        <v>161</v>
      </c>
      <c r="E4" s="8" t="s">
        <v>162</v>
      </c>
      <c r="F4" s="8" t="s">
        <v>163</v>
      </c>
      <c r="G4" s="8" t="s">
        <v>123</v>
      </c>
      <c r="H4" s="8" t="s">
        <v>124</v>
      </c>
      <c r="I4" s="8" t="s">
        <v>164</v>
      </c>
    </row>
    <row r="5" customFormat="false" ht="15" hidden="false" customHeight="false" outlineLevel="0" collapsed="false">
      <c r="A5" s="9" t="s">
        <v>165</v>
      </c>
      <c r="B5" s="49" t="n">
        <v>0</v>
      </c>
      <c r="C5" s="49" t="n">
        <v>0</v>
      </c>
      <c r="D5" s="49" t="n">
        <v>0</v>
      </c>
      <c r="E5" s="24" t="n">
        <f aca="false">B5*Phase2_Controls!$C$5+C5*Phase2_Controls!$C$6+D5*Phase2_Controls!$C$7</f>
        <v>0</v>
      </c>
      <c r="F5" s="24" t="n">
        <f aca="false">B5*Phase2_Controls!$D$5+C5*Phase2_Controls!$D$6+D5*Phase2_Controls!$D$7</f>
        <v>0</v>
      </c>
      <c r="G5" s="24" t="n">
        <f aca="false">B5*Phase2_Controls!$G$5+C5*Phase2_Controls!$G$6+D5*Phase2_Controls!$G$7</f>
        <v>0</v>
      </c>
      <c r="H5" s="24" t="n">
        <f aca="false">Phase2_Controls!$F$8-G5</f>
        <v>35000000</v>
      </c>
      <c r="I5" s="26" t="str">
        <f aca="false">IF(E5&gt;0,(G5-E5-F5)/(E5+F5),"n/a")</f>
        <v>n/a</v>
      </c>
    </row>
    <row r="6" customFormat="false" ht="15" hidden="false" customHeight="false" outlineLevel="0" collapsed="false">
      <c r="A6" s="9" t="s">
        <v>166</v>
      </c>
      <c r="B6" s="49" t="n">
        <v>1</v>
      </c>
      <c r="C6" s="49" t="n">
        <v>0</v>
      </c>
      <c r="D6" s="49" t="n">
        <v>0</v>
      </c>
      <c r="E6" s="24" t="n">
        <f aca="false">B6*Phase2_Controls!$C$5+C6*Phase2_Controls!$C$6+D6*Phase2_Controls!$C$7</f>
        <v>350000</v>
      </c>
      <c r="F6" s="24" t="n">
        <f aca="false">B6*Phase2_Controls!$D$5+C6*Phase2_Controls!$D$6+D6*Phase2_Controls!$D$7</f>
        <v>50000</v>
      </c>
      <c r="G6" s="24" t="n">
        <f aca="false">B6*Phase2_Controls!$G$5+C6*Phase2_Controls!$G$6+D6*Phase2_Controls!$G$7</f>
        <v>675000</v>
      </c>
      <c r="H6" s="24" t="n">
        <f aca="false">Phase2_Controls!$F$8-G6</f>
        <v>34325000</v>
      </c>
      <c r="I6" s="26" t="n">
        <f aca="false">IF(E6&gt;0,(G6-E6-F6)/(E6+F6),"n/a")</f>
        <v>0.6875</v>
      </c>
    </row>
    <row r="7" customFormat="false" ht="15" hidden="false" customHeight="false" outlineLevel="0" collapsed="false">
      <c r="A7" s="9" t="s">
        <v>167</v>
      </c>
      <c r="B7" s="49" t="n">
        <v>0</v>
      </c>
      <c r="C7" s="49" t="n">
        <v>1</v>
      </c>
      <c r="D7" s="49" t="n">
        <v>0</v>
      </c>
      <c r="E7" s="24" t="n">
        <f aca="false">B7*Phase2_Controls!$C$5+C7*Phase2_Controls!$C$6+D7*Phase2_Controls!$C$7</f>
        <v>150000</v>
      </c>
      <c r="F7" s="24" t="n">
        <f aca="false">B7*Phase2_Controls!$D$5+C7*Phase2_Controls!$D$6+D7*Phase2_Controls!$D$7</f>
        <v>25000</v>
      </c>
      <c r="G7" s="24" t="n">
        <f aca="false">B7*Phase2_Controls!$G$5+C7*Phase2_Controls!$G$6+D7*Phase2_Controls!$G$7</f>
        <v>23437500</v>
      </c>
      <c r="H7" s="24" t="n">
        <f aca="false">Phase2_Controls!$F$8-G7</f>
        <v>11562500</v>
      </c>
      <c r="I7" s="26" t="n">
        <f aca="false">IF(E7&gt;0,(G7-E7-F7)/(E7+F7),"n/a")</f>
        <v>132.928571428571</v>
      </c>
    </row>
    <row r="8" customFormat="false" ht="15" hidden="false" customHeight="false" outlineLevel="0" collapsed="false">
      <c r="A8" s="9" t="s">
        <v>168</v>
      </c>
      <c r="B8" s="49" t="n">
        <v>0</v>
      </c>
      <c r="C8" s="49" t="n">
        <v>0</v>
      </c>
      <c r="D8" s="49" t="n">
        <v>1</v>
      </c>
      <c r="E8" s="24" t="n">
        <f aca="false">B8*Phase2_Controls!$C$5+C8*Phase2_Controls!$C$6+D8*Phase2_Controls!$C$7</f>
        <v>200000</v>
      </c>
      <c r="F8" s="24" t="n">
        <f aca="false">B8*Phase2_Controls!$D$5+C8*Phase2_Controls!$D$6+D8*Phase2_Controls!$D$7</f>
        <v>30000</v>
      </c>
      <c r="G8" s="24" t="n">
        <f aca="false">B8*Phase2_Controls!$G$5+C8*Phase2_Controls!$G$6+D8*Phase2_Controls!$G$7</f>
        <v>2850000</v>
      </c>
      <c r="H8" s="24" t="n">
        <f aca="false">Phase2_Controls!$F$8-G8</f>
        <v>32150000</v>
      </c>
      <c r="I8" s="26" t="n">
        <f aca="false">IF(E8&gt;0,(G8-E8-F8)/(E8+F8),"n/a")</f>
        <v>11.3913043478261</v>
      </c>
    </row>
    <row r="9" customFormat="false" ht="15" hidden="false" customHeight="false" outlineLevel="0" collapsed="false">
      <c r="A9" s="9" t="s">
        <v>169</v>
      </c>
      <c r="B9" s="49" t="n">
        <v>1</v>
      </c>
      <c r="C9" s="49" t="n">
        <v>1</v>
      </c>
      <c r="D9" s="49" t="n">
        <v>0</v>
      </c>
      <c r="E9" s="24" t="n">
        <f aca="false">B9*Phase2_Controls!$C$5+C9*Phase2_Controls!$C$6+D9*Phase2_Controls!$C$7</f>
        <v>500000</v>
      </c>
      <c r="F9" s="24" t="n">
        <f aca="false">B9*Phase2_Controls!$D$5+C9*Phase2_Controls!$D$6+D9*Phase2_Controls!$D$7</f>
        <v>75000</v>
      </c>
      <c r="G9" s="24" t="n">
        <f aca="false">B9*Phase2_Controls!$G$5+C9*Phase2_Controls!$G$6+D9*Phase2_Controls!$G$7</f>
        <v>24112500</v>
      </c>
      <c r="H9" s="24" t="n">
        <f aca="false">Phase2_Controls!$F$8-G9</f>
        <v>10887500</v>
      </c>
      <c r="I9" s="26" t="n">
        <f aca="false">IF(E9&gt;0,(G9-E9-F9)/(E9+F9),"n/a")</f>
        <v>40.9347826086957</v>
      </c>
    </row>
    <row r="10" customFormat="false" ht="15" hidden="false" customHeight="false" outlineLevel="0" collapsed="false">
      <c r="A10" s="9" t="s">
        <v>170</v>
      </c>
      <c r="B10" s="49" t="n">
        <v>1</v>
      </c>
      <c r="C10" s="49" t="n">
        <v>0</v>
      </c>
      <c r="D10" s="49" t="n">
        <v>1</v>
      </c>
      <c r="E10" s="24" t="n">
        <f aca="false">B10*Phase2_Controls!$C$5+C10*Phase2_Controls!$C$6+D10*Phase2_Controls!$C$7</f>
        <v>550000</v>
      </c>
      <c r="F10" s="24" t="n">
        <f aca="false">B10*Phase2_Controls!$D$5+C10*Phase2_Controls!$D$6+D10*Phase2_Controls!$D$7</f>
        <v>80000</v>
      </c>
      <c r="G10" s="24" t="n">
        <f aca="false">B10*Phase2_Controls!$G$5+C10*Phase2_Controls!$G$6+D10*Phase2_Controls!$G$7</f>
        <v>3525000</v>
      </c>
      <c r="H10" s="24" t="n">
        <f aca="false">Phase2_Controls!$F$8-G10</f>
        <v>31475000</v>
      </c>
      <c r="I10" s="26" t="n">
        <f aca="false">IF(E10&gt;0,(G10-E10-F10)/(E10+F10),"n/a")</f>
        <v>4.5952380952381</v>
      </c>
    </row>
    <row r="11" customFormat="false" ht="15" hidden="false" customHeight="false" outlineLevel="0" collapsed="false">
      <c r="A11" s="9" t="s">
        <v>171</v>
      </c>
      <c r="B11" s="49" t="n">
        <v>0</v>
      </c>
      <c r="C11" s="49" t="n">
        <v>1</v>
      </c>
      <c r="D11" s="49" t="n">
        <v>1</v>
      </c>
      <c r="E11" s="24" t="n">
        <f aca="false">B11*Phase2_Controls!$C$5+C11*Phase2_Controls!$C$6+D11*Phase2_Controls!$C$7</f>
        <v>350000</v>
      </c>
      <c r="F11" s="24" t="n">
        <f aca="false">B11*Phase2_Controls!$D$5+C11*Phase2_Controls!$D$6+D11*Phase2_Controls!$D$7</f>
        <v>55000</v>
      </c>
      <c r="G11" s="24" t="n">
        <f aca="false">B11*Phase2_Controls!$G$5+C11*Phase2_Controls!$G$6+D11*Phase2_Controls!$G$7</f>
        <v>26287500</v>
      </c>
      <c r="H11" s="24" t="n">
        <f aca="false">Phase2_Controls!$F$8-G11</f>
        <v>8712500</v>
      </c>
      <c r="I11" s="26" t="n">
        <f aca="false">IF(E11&gt;0,(G11-E11-F11)/(E11+F11),"n/a")</f>
        <v>63.9074074074074</v>
      </c>
    </row>
    <row r="12" customFormat="false" ht="15" hidden="false" customHeight="false" outlineLevel="0" collapsed="false">
      <c r="A12" s="9" t="s">
        <v>172</v>
      </c>
      <c r="B12" s="49" t="n">
        <v>1</v>
      </c>
      <c r="C12" s="49" t="n">
        <v>1</v>
      </c>
      <c r="D12" s="49" t="n">
        <v>1</v>
      </c>
      <c r="E12" s="24" t="n">
        <f aca="false">B12*Phase2_Controls!$C$5+C12*Phase2_Controls!$C$6+D12*Phase2_Controls!$C$7</f>
        <v>700000</v>
      </c>
      <c r="F12" s="24" t="n">
        <f aca="false">B12*Phase2_Controls!$D$5+C12*Phase2_Controls!$D$6+D12*Phase2_Controls!$D$7</f>
        <v>105000</v>
      </c>
      <c r="G12" s="24" t="n">
        <f aca="false">B12*Phase2_Controls!$G$5+C12*Phase2_Controls!$G$6+D12*Phase2_Controls!$G$7</f>
        <v>26962500</v>
      </c>
      <c r="H12" s="24" t="n">
        <f aca="false">Phase2_Controls!$F$8-G12</f>
        <v>8037500</v>
      </c>
      <c r="I12" s="26" t="n">
        <f aca="false">IF(E12&gt;0,(G12-E12-F12)/(E12+F12),"n/a")</f>
        <v>32.4937888198758</v>
      </c>
    </row>
    <row r="15" customFormat="false" ht="15" hidden="false" customHeight="false" outlineLevel="0" collapsed="false">
      <c r="A15" s="2" t="s">
        <v>173</v>
      </c>
    </row>
    <row r="16" customFormat="false" ht="42" hidden="false" customHeight="true" outlineLevel="0" collapsed="false">
      <c r="A16" s="8" t="s">
        <v>174</v>
      </c>
      <c r="B16" s="8" t="s">
        <v>175</v>
      </c>
      <c r="C16" s="8" t="s">
        <v>176</v>
      </c>
      <c r="D16" s="8" t="s">
        <v>177</v>
      </c>
      <c r="E16" s="8" t="s">
        <v>178</v>
      </c>
      <c r="F16" s="8" t="s">
        <v>179</v>
      </c>
    </row>
    <row r="17" customFormat="false" ht="15" hidden="false" customHeight="false" outlineLevel="0" collapsed="false">
      <c r="A17" s="13" t="n">
        <v>150000</v>
      </c>
      <c r="B17" s="24" t="n">
        <f aca="false">_xlfn.MAXIFS($G$5:$G$12,$E$5:$E$12,"&lt;="&amp;A17)</f>
        <v>23437500</v>
      </c>
      <c r="C17" s="9" t="str">
        <f aca="false">INDEX($A$5:$A$12,MATCH(B17,$G$5:$G$12,0))</f>
        <v>WAF only</v>
      </c>
      <c r="D17" s="24" t="n">
        <f aca="false">INDEX($E$5:$E$12,MATCH(B17,$G$5:$G$12,0))</f>
        <v>150000</v>
      </c>
      <c r="E17" s="24" t="n">
        <f aca="false">A17-D17</f>
        <v>0</v>
      </c>
      <c r="F17" s="26" t="n">
        <f aca="false">B17/MAX($G$5:$G$12)</f>
        <v>0.869262865090403</v>
      </c>
    </row>
    <row r="18" customFormat="false" ht="15" hidden="false" customHeight="false" outlineLevel="0" collapsed="false">
      <c r="A18" s="13" t="n">
        <v>200000</v>
      </c>
      <c r="B18" s="24" t="n">
        <f aca="false">_xlfn.MAXIFS($G$5:$G$12,$E$5:$E$12,"&lt;="&amp;A18)</f>
        <v>23437500</v>
      </c>
      <c r="C18" s="9" t="str">
        <f aca="false">INDEX($A$5:$A$12,MATCH(B18,$G$5:$G$12,0))</f>
        <v>WAF only</v>
      </c>
      <c r="D18" s="24" t="n">
        <f aca="false">INDEX($E$5:$E$12,MATCH(B18,$G$5:$G$12,0))</f>
        <v>150000</v>
      </c>
      <c r="E18" s="24" t="n">
        <f aca="false">A18-D18</f>
        <v>50000</v>
      </c>
      <c r="F18" s="26" t="n">
        <f aca="false">B18/MAX($G$5:$G$12)</f>
        <v>0.869262865090403</v>
      </c>
    </row>
    <row r="19" customFormat="false" ht="15" hidden="false" customHeight="false" outlineLevel="0" collapsed="false">
      <c r="A19" s="13" t="n">
        <v>350000</v>
      </c>
      <c r="B19" s="24" t="n">
        <f aca="false">_xlfn.MAXIFS($G$5:$G$12,$E$5:$E$12,"&lt;="&amp;A19)</f>
        <v>26287500</v>
      </c>
      <c r="C19" s="9" t="str">
        <f aca="false">INDEX($A$5:$A$12,MATCH(B19,$G$5:$G$12,0))</f>
        <v>WAF + MFA</v>
      </c>
      <c r="D19" s="24" t="n">
        <f aca="false">INDEX($E$5:$E$12,MATCH(B19,$G$5:$G$12,0))</f>
        <v>350000</v>
      </c>
      <c r="E19" s="24" t="n">
        <f aca="false">A19-D19</f>
        <v>0</v>
      </c>
      <c r="F19" s="26" t="n">
        <f aca="false">B19/MAX($G$5:$G$12)</f>
        <v>0.974965229485396</v>
      </c>
    </row>
    <row r="20" customFormat="false" ht="15" hidden="false" customHeight="false" outlineLevel="0" collapsed="false">
      <c r="A20" s="40" t="n">
        <f aca="false">Inputs!B22</f>
        <v>500000</v>
      </c>
      <c r="B20" s="24" t="n">
        <f aca="false">_xlfn.MAXIFS($G$5:$G$12,$E$5:$E$12,"&lt;="&amp;A20)</f>
        <v>26287500</v>
      </c>
      <c r="C20" s="9" t="str">
        <f aca="false">INDEX($A$5:$A$12,MATCH(B20,$G$5:$G$12,0))</f>
        <v>WAF + MFA</v>
      </c>
      <c r="D20" s="24" t="n">
        <f aca="false">INDEX($E$5:$E$12,MATCH(B20,$G$5:$G$12,0))</f>
        <v>350000</v>
      </c>
      <c r="E20" s="24" t="n">
        <f aca="false">A20-D20</f>
        <v>150000</v>
      </c>
      <c r="F20" s="26" t="n">
        <f aca="false">B20/MAX($G$5:$G$12)</f>
        <v>0.974965229485396</v>
      </c>
    </row>
    <row r="21" customFormat="false" ht="15" hidden="false" customHeight="false" outlineLevel="0" collapsed="false">
      <c r="A21" s="13" t="n">
        <v>550000</v>
      </c>
      <c r="B21" s="24" t="n">
        <f aca="false">_xlfn.MAXIFS($G$5:$G$12,$E$5:$E$12,"&lt;="&amp;A21)</f>
        <v>26287500</v>
      </c>
      <c r="C21" s="9" t="str">
        <f aca="false">INDEX($A$5:$A$12,MATCH(B21,$G$5:$G$12,0))</f>
        <v>WAF + MFA</v>
      </c>
      <c r="D21" s="24" t="n">
        <f aca="false">INDEX($E$5:$E$12,MATCH(B21,$G$5:$G$12,0))</f>
        <v>350000</v>
      </c>
      <c r="E21" s="24" t="n">
        <f aca="false">A21-D21</f>
        <v>200000</v>
      </c>
      <c r="F21" s="26" t="n">
        <f aca="false">B21/MAX($G$5:$G$12)</f>
        <v>0.974965229485396</v>
      </c>
    </row>
    <row r="22" customFormat="false" ht="15" hidden="false" customHeight="false" outlineLevel="0" collapsed="false">
      <c r="A22" s="13" t="n">
        <v>700000</v>
      </c>
      <c r="B22" s="24" t="n">
        <f aca="false">_xlfn.MAXIFS($G$5:$G$12,$E$5:$E$12,"&lt;="&amp;A22)</f>
        <v>26962500</v>
      </c>
      <c r="C22" s="9" t="str">
        <f aca="false">INDEX($A$5:$A$12,MATCH(B22,$G$5:$G$12,0))</f>
        <v>All three controls</v>
      </c>
      <c r="D22" s="24" t="n">
        <f aca="false">INDEX($E$5:$E$12,MATCH(B22,$G$5:$G$12,0))</f>
        <v>700000</v>
      </c>
      <c r="E22" s="24" t="n">
        <f aca="false">A22-D22</f>
        <v>0</v>
      </c>
      <c r="F22" s="26" t="n">
        <f aca="false">B22/MAX($G$5:$G$12)</f>
        <v>1</v>
      </c>
    </row>
    <row r="25" customFormat="false" ht="15" hidden="false" customHeight="false" outlineLevel="0" collapsed="false">
      <c r="A25" s="2" t="s">
        <v>180</v>
      </c>
    </row>
    <row r="26" customFormat="false" ht="42" hidden="false" customHeight="true" outlineLevel="0" collapsed="false">
      <c r="A26" s="8" t="s">
        <v>52</v>
      </c>
      <c r="B26" s="8" t="s">
        <v>67</v>
      </c>
      <c r="C26" s="8" t="s">
        <v>181</v>
      </c>
      <c r="D26" s="8" t="s">
        <v>124</v>
      </c>
      <c r="E26" s="8" t="s">
        <v>182</v>
      </c>
      <c r="F26" s="8" t="s">
        <v>183</v>
      </c>
      <c r="G26" s="8" t="s">
        <v>184</v>
      </c>
      <c r="H26" s="8" t="s">
        <v>164</v>
      </c>
    </row>
    <row r="27" customFormat="false" ht="15" hidden="false" customHeight="false" outlineLevel="0" collapsed="false">
      <c r="A27" s="23" t="str">
        <f aca="false">Phase1_ALE!B5</f>
        <v>API Authentication Bypass</v>
      </c>
      <c r="B27" s="23" t="str">
        <f aca="false">Phase2_Controls!A5</f>
        <v>Advanced API Security Gateway</v>
      </c>
      <c r="C27" s="40" t="n">
        <f aca="false">Phase2_Controls!F5</f>
        <v>750000</v>
      </c>
      <c r="D27" s="40" t="n">
        <f aca="false">Phase2_Controls!H5</f>
        <v>75000</v>
      </c>
      <c r="E27" s="40" t="n">
        <f aca="false">Phase2_Controls!C5</f>
        <v>350000</v>
      </c>
      <c r="F27" s="40" t="n">
        <f aca="false">Phase2_Controls!G5</f>
        <v>675000</v>
      </c>
      <c r="G27" s="24" t="n">
        <f aca="false">Phase2_Controls!G5-Phase2_Controls!I5</f>
        <v>275000</v>
      </c>
      <c r="H27" s="50" t="n">
        <f aca="false">Phase2_Controls!K5</f>
        <v>0.6875</v>
      </c>
    </row>
    <row r="28" customFormat="false" ht="15" hidden="false" customHeight="false" outlineLevel="0" collapsed="false">
      <c r="A28" s="23" t="str">
        <f aca="false">Phase1_ALE!B6</f>
        <v>Database Injection</v>
      </c>
      <c r="B28" s="23" t="str">
        <f aca="false">Phase2_Controls!A6</f>
        <v>Web Application Firewall (WAF)</v>
      </c>
      <c r="C28" s="40" t="n">
        <f aca="false">Phase2_Controls!F6</f>
        <v>31250000</v>
      </c>
      <c r="D28" s="40" t="n">
        <f aca="false">Phase2_Controls!H6</f>
        <v>7812500</v>
      </c>
      <c r="E28" s="40" t="n">
        <f aca="false">Phase2_Controls!C6</f>
        <v>150000</v>
      </c>
      <c r="F28" s="40" t="n">
        <f aca="false">Phase2_Controls!G6</f>
        <v>23437500</v>
      </c>
      <c r="G28" s="24" t="n">
        <f aca="false">Phase2_Controls!G6-Phase2_Controls!I6</f>
        <v>23262500</v>
      </c>
      <c r="H28" s="50" t="n">
        <f aca="false">Phase2_Controls!K6</f>
        <v>132.928571428571</v>
      </c>
    </row>
    <row r="29" customFormat="false" ht="15" hidden="false" customHeight="false" outlineLevel="0" collapsed="false">
      <c r="A29" s="23" t="str">
        <f aca="false">Phase1_ALE!B7</f>
        <v>Session Hijacking</v>
      </c>
      <c r="B29" s="23" t="str">
        <f aca="false">Phase2_Controls!A7</f>
        <v>Multi-Factor Authentication Enhancement</v>
      </c>
      <c r="C29" s="40" t="n">
        <f aca="false">Phase2_Controls!F7</f>
        <v>3000000</v>
      </c>
      <c r="D29" s="40" t="n">
        <f aca="false">Phase2_Controls!H7</f>
        <v>150000</v>
      </c>
      <c r="E29" s="40" t="n">
        <f aca="false">Phase2_Controls!C7</f>
        <v>200000</v>
      </c>
      <c r="F29" s="40" t="n">
        <f aca="false">Phase2_Controls!G7</f>
        <v>2850000</v>
      </c>
      <c r="G29" s="24" t="n">
        <f aca="false">Phase2_Controls!G7-Phase2_Controls!I7</f>
        <v>2620000</v>
      </c>
      <c r="H29" s="50" t="n">
        <f aca="false">Phase2_Controls!K7</f>
        <v>11.3913043478261</v>
      </c>
    </row>
    <row r="30" customFormat="false" ht="15" hidden="false" customHeight="false" outlineLevel="0" collapsed="false">
      <c r="A30" s="9" t="s">
        <v>101</v>
      </c>
      <c r="B30" s="12"/>
      <c r="C30" s="30" t="n">
        <f aca="false">SUM(C27:C29)</f>
        <v>35000000</v>
      </c>
      <c r="D30" s="30" t="n">
        <f aca="false">SUM(D27:D29)</f>
        <v>8037500</v>
      </c>
      <c r="E30" s="30" t="n">
        <f aca="false">SUM(E27:E29)</f>
        <v>700000</v>
      </c>
      <c r="F30" s="30" t="n">
        <f aca="false">SUM(F27:F29)</f>
        <v>26962500</v>
      </c>
      <c r="G30" s="30" t="n">
        <f aca="false">SUM(G27:G29)</f>
        <v>26157500</v>
      </c>
      <c r="H30"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4"/>
    <col collapsed="false" customWidth="true" hidden="false" outlineLevel="0" max="4" min="3" style="0" width="10"/>
    <col collapsed="false" customWidth="true" hidden="false" outlineLevel="0" max="5" min="5" style="0" width="12"/>
    <col collapsed="false" customWidth="true" hidden="false" outlineLevel="0" max="6" min="6" style="0" width="16"/>
    <col collapsed="false" customWidth="true" hidden="false" outlineLevel="0" max="7" min="7" style="0" width="28"/>
    <col collapsed="false" customWidth="true" hidden="false" outlineLevel="0" max="8" min="8" style="0" width="10"/>
    <col collapsed="false" customWidth="true" hidden="false" outlineLevel="0" max="11" min="9" style="0" width="12"/>
  </cols>
  <sheetData>
    <row r="1" customFormat="false" ht="17.35" hidden="false" customHeight="false" outlineLevel="0" collapsed="false">
      <c r="A1" s="1" t="s">
        <v>185</v>
      </c>
    </row>
    <row r="2" customFormat="false" ht="15" hidden="false" customHeight="false" outlineLevel="0" collapsed="false">
      <c r="A2" s="4" t="s">
        <v>186</v>
      </c>
    </row>
    <row r="4" customFormat="false" ht="42" hidden="false" customHeight="true" outlineLevel="0" collapsed="false">
      <c r="A4" s="8" t="s">
        <v>187</v>
      </c>
      <c r="B4" s="8" t="s">
        <v>188</v>
      </c>
      <c r="C4" s="8" t="s">
        <v>189</v>
      </c>
      <c r="D4" s="8" t="s">
        <v>190</v>
      </c>
      <c r="E4" s="8" t="s">
        <v>191</v>
      </c>
      <c r="F4" s="8" t="s">
        <v>192</v>
      </c>
      <c r="G4" s="8" t="s">
        <v>193</v>
      </c>
      <c r="H4" s="8" t="s">
        <v>194</v>
      </c>
      <c r="I4" s="8" t="s">
        <v>195</v>
      </c>
      <c r="J4" s="8" t="s">
        <v>196</v>
      </c>
      <c r="K4" s="8" t="s">
        <v>197</v>
      </c>
    </row>
    <row r="5" customFormat="false" ht="15" hidden="false" customHeight="false" outlineLevel="0" collapsed="false">
      <c r="A5" s="10" t="s">
        <v>198</v>
      </c>
      <c r="B5" s="28" t="s">
        <v>199</v>
      </c>
      <c r="C5" s="49" t="n">
        <v>1</v>
      </c>
      <c r="D5" s="49" t="n">
        <v>10</v>
      </c>
      <c r="E5" s="27" t="n">
        <f aca="false">D5-C5+1</f>
        <v>10</v>
      </c>
      <c r="F5" s="13" t="n">
        <v>0</v>
      </c>
      <c r="G5" s="10" t="s">
        <v>200</v>
      </c>
      <c r="H5" s="27" t="n">
        <f aca="false">C5-1</f>
        <v>0</v>
      </c>
      <c r="I5" s="27" t="n">
        <f aca="false">IF(B5="Immediate",E5,0)</f>
        <v>10</v>
      </c>
      <c r="J5" s="27" t="n">
        <f aca="false">IF(B5="Short-term",E5,0)</f>
        <v>0</v>
      </c>
      <c r="K5" s="27" t="n">
        <f aca="false">IF(B5="Long-term",E5,0)</f>
        <v>0</v>
      </c>
    </row>
    <row r="6" customFormat="false" ht="15" hidden="false" customHeight="false" outlineLevel="0" collapsed="false">
      <c r="A6" s="10" t="s">
        <v>201</v>
      </c>
      <c r="B6" s="28" t="s">
        <v>199</v>
      </c>
      <c r="C6" s="49" t="n">
        <v>11</v>
      </c>
      <c r="D6" s="49" t="n">
        <v>20</v>
      </c>
      <c r="E6" s="27" t="n">
        <f aca="false">D6-C6+1</f>
        <v>10</v>
      </c>
      <c r="F6" s="13" t="n">
        <v>150000</v>
      </c>
      <c r="G6" s="10" t="s">
        <v>202</v>
      </c>
      <c r="H6" s="27" t="n">
        <f aca="false">C6-1</f>
        <v>10</v>
      </c>
      <c r="I6" s="27" t="n">
        <f aca="false">IF(B6="Immediate",E6,0)</f>
        <v>10</v>
      </c>
      <c r="J6" s="27" t="n">
        <f aca="false">IF(B6="Short-term",E6,0)</f>
        <v>0</v>
      </c>
      <c r="K6" s="27" t="n">
        <f aca="false">IF(B6="Long-term",E6,0)</f>
        <v>0</v>
      </c>
    </row>
    <row r="7" customFormat="false" ht="15" hidden="false" customHeight="false" outlineLevel="0" collapsed="false">
      <c r="A7" s="10" t="s">
        <v>203</v>
      </c>
      <c r="B7" s="28" t="s">
        <v>199</v>
      </c>
      <c r="C7" s="49" t="n">
        <v>21</v>
      </c>
      <c r="D7" s="49" t="n">
        <v>30</v>
      </c>
      <c r="E7" s="27" t="n">
        <f aca="false">D7-C7+1</f>
        <v>10</v>
      </c>
      <c r="F7" s="13" t="n">
        <v>0</v>
      </c>
      <c r="G7" s="10" t="s">
        <v>204</v>
      </c>
      <c r="H7" s="27" t="n">
        <f aca="false">C7-1</f>
        <v>20</v>
      </c>
      <c r="I7" s="27" t="n">
        <f aca="false">IF(B7="Immediate",E7,0)</f>
        <v>10</v>
      </c>
      <c r="J7" s="27" t="n">
        <f aca="false">IF(B7="Short-term",E7,0)</f>
        <v>0</v>
      </c>
      <c r="K7" s="27" t="n">
        <f aca="false">IF(B7="Long-term",E7,0)</f>
        <v>0</v>
      </c>
    </row>
    <row r="8" customFormat="false" ht="15" hidden="false" customHeight="false" outlineLevel="0" collapsed="false">
      <c r="A8" s="10" t="s">
        <v>205</v>
      </c>
      <c r="B8" s="28" t="s">
        <v>206</v>
      </c>
      <c r="C8" s="49" t="n">
        <v>31</v>
      </c>
      <c r="D8" s="49" t="n">
        <v>60</v>
      </c>
      <c r="E8" s="27" t="n">
        <f aca="false">D8-C8+1</f>
        <v>30</v>
      </c>
      <c r="F8" s="13" t="n">
        <v>200000</v>
      </c>
      <c r="G8" s="10" t="s">
        <v>207</v>
      </c>
      <c r="H8" s="27" t="n">
        <f aca="false">C8-1</f>
        <v>30</v>
      </c>
      <c r="I8" s="27" t="n">
        <f aca="false">IF(B8="Immediate",E8,0)</f>
        <v>0</v>
      </c>
      <c r="J8" s="27" t="n">
        <f aca="false">IF(B8="Short-term",E8,0)</f>
        <v>30</v>
      </c>
      <c r="K8" s="27" t="n">
        <f aca="false">IF(B8="Long-term",E8,0)</f>
        <v>0</v>
      </c>
    </row>
    <row r="9" customFormat="false" ht="15" hidden="false" customHeight="false" outlineLevel="0" collapsed="false">
      <c r="A9" s="10" t="s">
        <v>208</v>
      </c>
      <c r="B9" s="28" t="s">
        <v>206</v>
      </c>
      <c r="C9" s="49" t="n">
        <v>61</v>
      </c>
      <c r="D9" s="49" t="n">
        <v>90</v>
      </c>
      <c r="E9" s="27" t="n">
        <f aca="false">D9-C9+1</f>
        <v>30</v>
      </c>
      <c r="F9" s="13" t="n">
        <v>50000</v>
      </c>
      <c r="G9" s="10" t="s">
        <v>209</v>
      </c>
      <c r="H9" s="27" t="n">
        <f aca="false">C9-1</f>
        <v>60</v>
      </c>
      <c r="I9" s="27" t="n">
        <f aca="false">IF(B9="Immediate",E9,0)</f>
        <v>0</v>
      </c>
      <c r="J9" s="27" t="n">
        <f aca="false">IF(B9="Short-term",E9,0)</f>
        <v>30</v>
      </c>
      <c r="K9" s="27" t="n">
        <f aca="false">IF(B9="Long-term",E9,0)</f>
        <v>0</v>
      </c>
    </row>
    <row r="10" customFormat="false" ht="15" hidden="false" customHeight="false" outlineLevel="0" collapsed="false">
      <c r="A10" s="10" t="s">
        <v>210</v>
      </c>
      <c r="B10" s="28" t="s">
        <v>211</v>
      </c>
      <c r="C10" s="49" t="n">
        <v>91</v>
      </c>
      <c r="D10" s="49" t="n">
        <v>270</v>
      </c>
      <c r="E10" s="27" t="n">
        <f aca="false">D10-C10+1</f>
        <v>180</v>
      </c>
      <c r="F10" s="13" t="n">
        <v>300000</v>
      </c>
      <c r="G10" s="10" t="s">
        <v>212</v>
      </c>
      <c r="H10" s="27" t="n">
        <f aca="false">C10-1</f>
        <v>90</v>
      </c>
      <c r="I10" s="27" t="n">
        <f aca="false">IF(B10="Immediate",E10,0)</f>
        <v>0</v>
      </c>
      <c r="J10" s="27" t="n">
        <f aca="false">IF(B10="Short-term",E10,0)</f>
        <v>0</v>
      </c>
      <c r="K10" s="27" t="n">
        <f aca="false">IF(B10="Long-term",E10,0)</f>
        <v>180</v>
      </c>
    </row>
    <row r="11" customFormat="false" ht="15" hidden="false" customHeight="false" outlineLevel="0" collapsed="false">
      <c r="A11" s="10" t="s">
        <v>213</v>
      </c>
      <c r="B11" s="28" t="s">
        <v>211</v>
      </c>
      <c r="C11" s="49" t="n">
        <v>91</v>
      </c>
      <c r="D11" s="49" t="n">
        <v>365</v>
      </c>
      <c r="E11" s="27" t="n">
        <f aca="false">D11-C11+1</f>
        <v>275</v>
      </c>
      <c r="F11" s="13" t="n">
        <v>0</v>
      </c>
      <c r="G11" s="10" t="s">
        <v>200</v>
      </c>
      <c r="H11" s="27" t="n">
        <f aca="false">C11-1</f>
        <v>90</v>
      </c>
      <c r="I11" s="27" t="n">
        <f aca="false">IF(B11="Immediate",E11,0)</f>
        <v>0</v>
      </c>
      <c r="J11" s="27" t="n">
        <f aca="false">IF(B11="Short-term",E11,0)</f>
        <v>0</v>
      </c>
      <c r="K11" s="27" t="n">
        <f aca="false">IF(B11="Long-term",E11,0)</f>
        <v>275</v>
      </c>
    </row>
    <row r="12" customFormat="false" ht="15" hidden="false" customHeight="false" outlineLevel="0" collapsed="false">
      <c r="A12" s="10" t="s">
        <v>214</v>
      </c>
      <c r="B12" s="28" t="s">
        <v>211</v>
      </c>
      <c r="C12" s="49" t="n">
        <v>300</v>
      </c>
      <c r="D12" s="49" t="n">
        <v>365</v>
      </c>
      <c r="E12" s="27" t="n">
        <f aca="false">D12-C12+1</f>
        <v>66</v>
      </c>
      <c r="F12" s="13" t="n">
        <v>0</v>
      </c>
      <c r="G12" s="10" t="s">
        <v>215</v>
      </c>
      <c r="H12" s="27" t="n">
        <f aca="false">C12-1</f>
        <v>299</v>
      </c>
      <c r="I12" s="27" t="n">
        <f aca="false">IF(B12="Immediate",E12,0)</f>
        <v>0</v>
      </c>
      <c r="J12" s="27" t="n">
        <f aca="false">IF(B12="Short-term",E12,0)</f>
        <v>0</v>
      </c>
      <c r="K12" s="27" t="n">
        <f aca="false">IF(B12="Long-term",E12,0)</f>
        <v>66</v>
      </c>
    </row>
    <row r="13" customFormat="false" ht="15" hidden="false" customHeight="false" outlineLevel="0" collapsed="false">
      <c r="A13" s="2" t="s">
        <v>216</v>
      </c>
      <c r="F13" s="51" t="n">
        <f aca="false">SUM(F5:F12)</f>
        <v>700000</v>
      </c>
    </row>
    <row r="14" customFormat="false" ht="15" hidden="false" customHeight="false" outlineLevel="0" collapsed="false">
      <c r="A14" s="4" t="s">
        <v>217</v>
      </c>
      <c r="F14" s="52" t="n">
        <f aca="false">F13-Phase2_Controls!C8</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7.35" hidden="false" customHeight="false" outlineLevel="0" collapsed="false">
      <c r="A1" s="1" t="s">
        <v>218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2026-10-31T08:11:25Z</dcterms:created>
  <dc:creator>openpyxl</dc:creator>
  <dc:description/>
  <dc:language>en-US</dc:language>
  <cp:lastModifiedBy/>
  <dcterms:modified xsi:type="dcterms:W3CDTF">2026-10-31T08:11:28Z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